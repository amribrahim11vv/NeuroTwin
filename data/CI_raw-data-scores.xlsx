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wrk_pc\3.Papers\PTSD\edited\JAD\dib\repository\"/>
    </mc:Choice>
  </mc:AlternateContent>
  <xr:revisionPtr revIDLastSave="0" documentId="8_{9258038C-7502-4E42-8C1F-30B088192D38}" xr6:coauthVersionLast="47" xr6:coauthVersionMax="47" xr10:uidLastSave="{00000000-0000-0000-0000-000000000000}"/>
  <bookViews>
    <workbookView xWindow="-28920" yWindow="-4680" windowWidth="29040" windowHeight="15840" activeTab="8" xr2:uid="{00000000-000D-0000-FFFF-FFFF00000000}"/>
  </bookViews>
  <sheets>
    <sheet name="raw-scores" sheetId="1" r:id="rId1"/>
    <sheet name="M+SD" sheetId="9" r:id="rId2"/>
    <sheet name="PCL-5" sheetId="2" r:id="rId3"/>
    <sheet name="PC-PTSD" sheetId="3" r:id="rId4"/>
    <sheet name="HTQ" sheetId="4" r:id="rId5"/>
    <sheet name="WEMWBS" sheetId="5" r:id="rId6"/>
    <sheet name="CD-RISC" sheetId="6" r:id="rId7"/>
    <sheet name="BRS" sheetId="8" r:id="rId8"/>
    <sheet name="GS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C50" i="1" l="1"/>
  <c r="JC49" i="1"/>
  <c r="JC48" i="1"/>
  <c r="JC47" i="1"/>
  <c r="JC44" i="1"/>
  <c r="JC43" i="1"/>
  <c r="JC42" i="1"/>
  <c r="JC41" i="1"/>
  <c r="JC30" i="1"/>
  <c r="JC29" i="1"/>
  <c r="JC28" i="1"/>
  <c r="JC27" i="1"/>
  <c r="JC16" i="1"/>
  <c r="JC15" i="1"/>
  <c r="JC14" i="1"/>
  <c r="JC13" i="1"/>
  <c r="JC26" i="1"/>
  <c r="JC25" i="1"/>
  <c r="JC24" i="1"/>
  <c r="JC23" i="1"/>
  <c r="JC22" i="1"/>
  <c r="JC21" i="1"/>
  <c r="JC20" i="1"/>
  <c r="JC19" i="1"/>
  <c r="JC18" i="1"/>
  <c r="JC17" i="1"/>
  <c r="JC12" i="1"/>
  <c r="JC11" i="1"/>
  <c r="JC10" i="1"/>
  <c r="JC9" i="1"/>
  <c r="JC8" i="1"/>
  <c r="JC7" i="1"/>
  <c r="JC6" i="1"/>
  <c r="JC5" i="1"/>
  <c r="JC4" i="1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IR38" i="1"/>
  <c r="IR34" i="1"/>
  <c r="IR31" i="1"/>
  <c r="IR26" i="1"/>
  <c r="IR22" i="1"/>
  <c r="IR18" i="1"/>
  <c r="IR11" i="1"/>
  <c r="IR10" i="1"/>
  <c r="IR7" i="1"/>
  <c r="IR6" i="1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N38" i="6"/>
  <c r="N37" i="6"/>
  <c r="N36" i="6"/>
  <c r="N35" i="6"/>
  <c r="N34" i="6"/>
  <c r="N33" i="6"/>
  <c r="N32" i="6"/>
  <c r="N31" i="6"/>
  <c r="N30" i="6"/>
  <c r="N29" i="6"/>
  <c r="N24" i="6"/>
  <c r="N23" i="6"/>
  <c r="N22" i="6"/>
  <c r="N21" i="6"/>
  <c r="N20" i="6"/>
  <c r="N19" i="6"/>
  <c r="N18" i="6"/>
  <c r="N17" i="6"/>
  <c r="N16" i="6"/>
  <c r="N15" i="6"/>
  <c r="N10" i="6"/>
  <c r="N9" i="6"/>
  <c r="N8" i="6"/>
  <c r="N7" i="6"/>
  <c r="N6" i="6"/>
  <c r="N5" i="6"/>
  <c r="N4" i="6"/>
  <c r="N3" i="6"/>
  <c r="N2" i="6"/>
  <c r="M38" i="6"/>
  <c r="M37" i="6"/>
  <c r="M36" i="6"/>
  <c r="M35" i="6"/>
  <c r="M34" i="6"/>
  <c r="M33" i="6"/>
  <c r="M32" i="6"/>
  <c r="M31" i="6"/>
  <c r="M30" i="6"/>
  <c r="M29" i="6"/>
  <c r="M24" i="6"/>
  <c r="M23" i="6"/>
  <c r="M22" i="6"/>
  <c r="M21" i="6"/>
  <c r="M20" i="6"/>
  <c r="M19" i="6"/>
  <c r="M18" i="6"/>
  <c r="M17" i="6"/>
  <c r="M16" i="6"/>
  <c r="M15" i="6"/>
  <c r="M10" i="6"/>
  <c r="M9" i="6"/>
  <c r="M8" i="6"/>
  <c r="M7" i="6"/>
  <c r="M6" i="6"/>
  <c r="M5" i="6"/>
  <c r="M4" i="6"/>
  <c r="M3" i="6"/>
  <c r="M2" i="6"/>
  <c r="M38" i="5"/>
  <c r="M37" i="5"/>
  <c r="M36" i="5"/>
  <c r="M35" i="5"/>
  <c r="M34" i="5"/>
  <c r="M33" i="5"/>
  <c r="M32" i="5"/>
  <c r="M31" i="5"/>
  <c r="M30" i="5"/>
  <c r="M29" i="5"/>
  <c r="M24" i="5"/>
  <c r="M23" i="5"/>
  <c r="M22" i="5"/>
  <c r="M21" i="5"/>
  <c r="M20" i="5"/>
  <c r="M19" i="5"/>
  <c r="M18" i="5"/>
  <c r="M17" i="5"/>
  <c r="M16" i="5"/>
  <c r="M15" i="5"/>
  <c r="M10" i="5"/>
  <c r="M9" i="5"/>
  <c r="M8" i="5"/>
  <c r="M7" i="5"/>
  <c r="M6" i="5"/>
  <c r="M5" i="5"/>
  <c r="M4" i="5"/>
  <c r="M3" i="5"/>
  <c r="M2" i="5"/>
  <c r="N38" i="4"/>
  <c r="N37" i="4"/>
  <c r="N36" i="4"/>
  <c r="N35" i="4"/>
  <c r="N34" i="4"/>
  <c r="N33" i="4"/>
  <c r="N32" i="4"/>
  <c r="N31" i="4"/>
  <c r="N30" i="4"/>
  <c r="N29" i="4"/>
  <c r="N24" i="4"/>
  <c r="N23" i="4"/>
  <c r="N22" i="4"/>
  <c r="N21" i="4"/>
  <c r="N20" i="4"/>
  <c r="N19" i="4"/>
  <c r="N18" i="4"/>
  <c r="N17" i="4"/>
  <c r="N16" i="4"/>
  <c r="N15" i="4"/>
  <c r="N9" i="4"/>
  <c r="N8" i="4"/>
  <c r="N7" i="4"/>
  <c r="N6" i="4"/>
  <c r="N5" i="4"/>
  <c r="N4" i="4"/>
  <c r="N3" i="4"/>
  <c r="N2" i="4"/>
  <c r="M38" i="2"/>
  <c r="M37" i="2"/>
  <c r="M36" i="2"/>
  <c r="M35" i="2"/>
  <c r="M34" i="2"/>
  <c r="M33" i="2"/>
  <c r="M32" i="2"/>
  <c r="M31" i="2"/>
  <c r="M30" i="2"/>
  <c r="M29" i="2"/>
  <c r="M24" i="2"/>
  <c r="M23" i="2"/>
  <c r="M22" i="2"/>
  <c r="M21" i="2"/>
  <c r="M20" i="2"/>
  <c r="M19" i="2"/>
  <c r="M18" i="2"/>
  <c r="M17" i="2"/>
  <c r="M16" i="2"/>
  <c r="M15" i="2"/>
  <c r="M10" i="2"/>
  <c r="M9" i="2"/>
  <c r="M8" i="2"/>
  <c r="M7" i="2"/>
  <c r="M6" i="2"/>
  <c r="M5" i="2"/>
  <c r="M4" i="2"/>
  <c r="M3" i="2"/>
  <c r="M2" i="2"/>
  <c r="AL5" i="1"/>
  <c r="AL6" i="1"/>
  <c r="AL4" i="1"/>
  <c r="AL17" i="1"/>
  <c r="CX10" i="1"/>
  <c r="HY10" i="1"/>
  <c r="HY17" i="1"/>
  <c r="HY23" i="1"/>
  <c r="HY31" i="1"/>
  <c r="HJ32" i="1"/>
  <c r="HJ33" i="1"/>
  <c r="HJ34" i="1"/>
  <c r="HJ35" i="1"/>
  <c r="HJ36" i="1"/>
  <c r="HJ37" i="1"/>
  <c r="HJ38" i="1"/>
  <c r="HJ39" i="1"/>
  <c r="HJ40" i="1"/>
  <c r="HJ31" i="1"/>
  <c r="HJ18" i="1"/>
  <c r="HJ19" i="1"/>
  <c r="HJ20" i="1"/>
  <c r="HJ21" i="1"/>
  <c r="HJ22" i="1"/>
  <c r="HJ23" i="1"/>
  <c r="HJ24" i="1"/>
  <c r="HJ25" i="1"/>
  <c r="HJ26" i="1"/>
  <c r="HJ17" i="1"/>
  <c r="HJ5" i="1"/>
  <c r="HJ6" i="1"/>
  <c r="HJ7" i="1"/>
  <c r="HJ8" i="1"/>
  <c r="HJ9" i="1"/>
  <c r="HJ10" i="1"/>
  <c r="HJ11" i="1"/>
  <c r="HJ12" i="1"/>
  <c r="HJ4" i="1"/>
  <c r="CI32" i="1"/>
  <c r="CX32" i="1" s="1"/>
  <c r="CI33" i="1"/>
  <c r="CX33" i="1" s="1"/>
  <c r="CI34" i="1"/>
  <c r="CX34" i="1" s="1"/>
  <c r="CI35" i="1"/>
  <c r="CX35" i="1" s="1"/>
  <c r="CI36" i="1"/>
  <c r="CX36" i="1" s="1"/>
  <c r="CI37" i="1"/>
  <c r="CX37" i="1" s="1"/>
  <c r="CI38" i="1"/>
  <c r="CX38" i="1" s="1"/>
  <c r="CI39" i="1"/>
  <c r="CX39" i="1" s="1"/>
  <c r="CI40" i="1"/>
  <c r="CX40" i="1" s="1"/>
  <c r="CI31" i="1"/>
  <c r="CX31" i="1" s="1"/>
  <c r="CI18" i="1"/>
  <c r="CX18" i="1" s="1"/>
  <c r="CI19" i="1"/>
  <c r="CX19" i="1" s="1"/>
  <c r="CI20" i="1"/>
  <c r="CX20" i="1" s="1"/>
  <c r="CI21" i="1"/>
  <c r="CX21" i="1" s="1"/>
  <c r="CI22" i="1"/>
  <c r="CX22" i="1" s="1"/>
  <c r="CI23" i="1"/>
  <c r="CX23" i="1" s="1"/>
  <c r="CI24" i="1"/>
  <c r="CX24" i="1" s="1"/>
  <c r="CI25" i="1"/>
  <c r="CX25" i="1" s="1"/>
  <c r="CI26" i="1"/>
  <c r="CX26" i="1" s="1"/>
  <c r="CI17" i="1"/>
  <c r="CX17" i="1" s="1"/>
  <c r="CI8" i="1"/>
  <c r="CI9" i="1"/>
  <c r="CI10" i="1"/>
  <c r="CI11" i="1"/>
  <c r="CI12" i="1"/>
  <c r="CI5" i="1"/>
  <c r="CI6" i="1"/>
  <c r="CI7" i="1"/>
  <c r="CI4" i="1"/>
  <c r="CA4" i="1"/>
  <c r="CB4" i="1" s="1"/>
  <c r="AL7" i="1"/>
  <c r="AL8" i="1"/>
  <c r="HY35" i="1"/>
  <c r="HY32" i="1"/>
  <c r="HY37" i="1"/>
  <c r="HY38" i="1"/>
  <c r="HY39" i="1"/>
  <c r="HY40" i="1"/>
  <c r="HY33" i="1"/>
  <c r="HY34" i="1"/>
  <c r="HY36" i="1"/>
  <c r="HY18" i="1"/>
  <c r="HY19" i="1"/>
  <c r="HY20" i="1"/>
  <c r="HY21" i="1"/>
  <c r="HY22" i="1"/>
  <c r="HY24" i="1"/>
  <c r="HY25" i="1"/>
  <c r="HY26" i="1"/>
  <c r="HY5" i="1"/>
  <c r="HY6" i="1"/>
  <c r="HY7" i="1"/>
  <c r="HY8" i="1"/>
  <c r="HY9" i="1"/>
  <c r="HY11" i="1"/>
  <c r="HY12" i="1"/>
  <c r="HY4" i="1"/>
  <c r="IQ32" i="1"/>
  <c r="IR32" i="1" s="1"/>
  <c r="IR42" i="1" s="1"/>
  <c r="L31" i="9" s="1"/>
  <c r="IQ33" i="1"/>
  <c r="IR33" i="1" s="1"/>
  <c r="IQ34" i="1"/>
  <c r="IQ35" i="1"/>
  <c r="IR35" i="1" s="1"/>
  <c r="IQ36" i="1"/>
  <c r="IR36" i="1" s="1"/>
  <c r="IQ37" i="1"/>
  <c r="IR37" i="1" s="1"/>
  <c r="IQ38" i="1"/>
  <c r="IQ39" i="1"/>
  <c r="IR39" i="1" s="1"/>
  <c r="IQ40" i="1"/>
  <c r="IR40" i="1" s="1"/>
  <c r="IQ31" i="1"/>
  <c r="IQ18" i="1"/>
  <c r="IQ19" i="1"/>
  <c r="IR19" i="1" s="1"/>
  <c r="IR28" i="1" s="1"/>
  <c r="L20" i="9" s="1"/>
  <c r="IQ20" i="1"/>
  <c r="IR20" i="1" s="1"/>
  <c r="IQ21" i="1"/>
  <c r="IR21" i="1" s="1"/>
  <c r="IQ22" i="1"/>
  <c r="IQ23" i="1"/>
  <c r="IR23" i="1" s="1"/>
  <c r="IQ24" i="1"/>
  <c r="IR24" i="1" s="1"/>
  <c r="IQ25" i="1"/>
  <c r="IR25" i="1" s="1"/>
  <c r="IQ26" i="1"/>
  <c r="IQ17" i="1"/>
  <c r="IR17" i="1" s="1"/>
  <c r="IQ5" i="1"/>
  <c r="IR5" i="1" s="1"/>
  <c r="IQ6" i="1"/>
  <c r="IQ7" i="1"/>
  <c r="IQ8" i="1"/>
  <c r="IR8" i="1" s="1"/>
  <c r="IQ9" i="1"/>
  <c r="IR9" i="1" s="1"/>
  <c r="IQ10" i="1"/>
  <c r="IQ11" i="1"/>
  <c r="IQ12" i="1"/>
  <c r="IR12" i="1" s="1"/>
  <c r="IQ4" i="1"/>
  <c r="IR4" i="1" s="1"/>
  <c r="IR48" i="1" s="1"/>
  <c r="IJ32" i="1"/>
  <c r="IJ33" i="1"/>
  <c r="IJ34" i="1"/>
  <c r="IJ35" i="1"/>
  <c r="IJ36" i="1"/>
  <c r="IJ37" i="1"/>
  <c r="IJ38" i="1"/>
  <c r="IJ39" i="1"/>
  <c r="IJ40" i="1"/>
  <c r="IJ31" i="1"/>
  <c r="IJ18" i="1"/>
  <c r="IJ19" i="1"/>
  <c r="IJ20" i="1"/>
  <c r="IJ21" i="1"/>
  <c r="IJ22" i="1"/>
  <c r="IJ23" i="1"/>
  <c r="IJ24" i="1"/>
  <c r="IJ25" i="1"/>
  <c r="IJ26" i="1"/>
  <c r="IJ17" i="1"/>
  <c r="IJ5" i="1"/>
  <c r="IJ6" i="1"/>
  <c r="IJ7" i="1"/>
  <c r="IJ8" i="1"/>
  <c r="IJ9" i="1"/>
  <c r="IJ10" i="1"/>
  <c r="IJ11" i="1"/>
  <c r="IJ12" i="1"/>
  <c r="IJ4" i="1"/>
  <c r="HB32" i="1"/>
  <c r="HC32" i="1" s="1"/>
  <c r="HB33" i="1"/>
  <c r="HC33" i="1" s="1"/>
  <c r="HB34" i="1"/>
  <c r="HC34" i="1" s="1"/>
  <c r="HB35" i="1"/>
  <c r="HC35" i="1" s="1"/>
  <c r="HB36" i="1"/>
  <c r="HC36" i="1" s="1"/>
  <c r="HB37" i="1"/>
  <c r="HC37" i="1" s="1"/>
  <c r="HB38" i="1"/>
  <c r="HC38" i="1" s="1"/>
  <c r="HB39" i="1"/>
  <c r="HC39" i="1" s="1"/>
  <c r="HB40" i="1"/>
  <c r="HC40" i="1" s="1"/>
  <c r="HB31" i="1"/>
  <c r="HC31" i="1" s="1"/>
  <c r="HB18" i="1"/>
  <c r="HC18" i="1" s="1"/>
  <c r="HB19" i="1"/>
  <c r="HC19" i="1" s="1"/>
  <c r="HB20" i="1"/>
  <c r="HC20" i="1" s="1"/>
  <c r="HB21" i="1"/>
  <c r="HC21" i="1" s="1"/>
  <c r="HB22" i="1"/>
  <c r="HC22" i="1" s="1"/>
  <c r="HB23" i="1"/>
  <c r="HC23" i="1" s="1"/>
  <c r="HB24" i="1"/>
  <c r="HC24" i="1" s="1"/>
  <c r="HB25" i="1"/>
  <c r="HC25" i="1" s="1"/>
  <c r="HB26" i="1"/>
  <c r="HC26" i="1" s="1"/>
  <c r="HB17" i="1"/>
  <c r="HC17" i="1" s="1"/>
  <c r="HB5" i="1"/>
  <c r="HC5" i="1" s="1"/>
  <c r="HB6" i="1"/>
  <c r="HC6" i="1" s="1"/>
  <c r="HB7" i="1"/>
  <c r="HC7" i="1" s="1"/>
  <c r="HB8" i="1"/>
  <c r="HC8" i="1" s="1"/>
  <c r="HB9" i="1"/>
  <c r="HC9" i="1" s="1"/>
  <c r="HB10" i="1"/>
  <c r="HC10" i="1" s="1"/>
  <c r="HB11" i="1"/>
  <c r="HC11" i="1" s="1"/>
  <c r="HB12" i="1"/>
  <c r="HC12" i="1" s="1"/>
  <c r="HB4" i="1"/>
  <c r="HC4" i="1" s="1"/>
  <c r="FM4" i="1"/>
  <c r="EB32" i="1"/>
  <c r="EB33" i="1"/>
  <c r="EB34" i="1"/>
  <c r="EB35" i="1"/>
  <c r="EB36" i="1"/>
  <c r="EB37" i="1"/>
  <c r="EB38" i="1"/>
  <c r="EB39" i="1"/>
  <c r="EB40" i="1"/>
  <c r="EB31" i="1"/>
  <c r="EB18" i="1"/>
  <c r="EB19" i="1"/>
  <c r="EB20" i="1"/>
  <c r="EB21" i="1"/>
  <c r="EB22" i="1"/>
  <c r="EB23" i="1"/>
  <c r="EB24" i="1"/>
  <c r="EB25" i="1"/>
  <c r="EB26" i="1"/>
  <c r="EB17" i="1"/>
  <c r="EB5" i="1"/>
  <c r="EB6" i="1"/>
  <c r="EB7" i="1"/>
  <c r="EB8" i="1"/>
  <c r="EB9" i="1"/>
  <c r="EB10" i="1"/>
  <c r="EB11" i="1"/>
  <c r="EB12" i="1"/>
  <c r="EB4" i="1"/>
  <c r="DP32" i="1"/>
  <c r="DQ32" i="1" s="1"/>
  <c r="DP33" i="1"/>
  <c r="DQ33" i="1" s="1"/>
  <c r="DP34" i="1"/>
  <c r="DQ34" i="1" s="1"/>
  <c r="DP35" i="1"/>
  <c r="DQ35" i="1" s="1"/>
  <c r="DP36" i="1"/>
  <c r="DQ36" i="1" s="1"/>
  <c r="DP37" i="1"/>
  <c r="DQ37" i="1" s="1"/>
  <c r="DP38" i="1"/>
  <c r="DQ38" i="1" s="1"/>
  <c r="DP39" i="1"/>
  <c r="DQ39" i="1" s="1"/>
  <c r="DP40" i="1"/>
  <c r="DQ40" i="1" s="1"/>
  <c r="DP31" i="1"/>
  <c r="DQ31" i="1" s="1"/>
  <c r="DP18" i="1"/>
  <c r="DQ18" i="1" s="1"/>
  <c r="DP19" i="1"/>
  <c r="DQ19" i="1" s="1"/>
  <c r="DP20" i="1"/>
  <c r="DQ20" i="1" s="1"/>
  <c r="DP21" i="1"/>
  <c r="DQ21" i="1" s="1"/>
  <c r="DP22" i="1"/>
  <c r="DQ22" i="1" s="1"/>
  <c r="DP23" i="1"/>
  <c r="DQ23" i="1" s="1"/>
  <c r="DP24" i="1"/>
  <c r="DQ24" i="1" s="1"/>
  <c r="DP25" i="1"/>
  <c r="DQ25" i="1" s="1"/>
  <c r="DP26" i="1"/>
  <c r="DQ26" i="1" s="1"/>
  <c r="DP17" i="1"/>
  <c r="DQ17" i="1" s="1"/>
  <c r="DP5" i="1"/>
  <c r="DQ5" i="1" s="1"/>
  <c r="DP6" i="1"/>
  <c r="DQ6" i="1" s="1"/>
  <c r="DP7" i="1"/>
  <c r="DQ7" i="1" s="1"/>
  <c r="DP8" i="1"/>
  <c r="DQ8" i="1" s="1"/>
  <c r="DQ13" i="1" s="1"/>
  <c r="F9" i="9" s="1"/>
  <c r="DP9" i="1"/>
  <c r="DQ9" i="1" s="1"/>
  <c r="DP10" i="1"/>
  <c r="DQ10" i="1" s="1"/>
  <c r="DP11" i="1"/>
  <c r="DQ11" i="1" s="1"/>
  <c r="DP12" i="1"/>
  <c r="DQ12" i="1" s="1"/>
  <c r="DP4" i="1"/>
  <c r="DQ4" i="1" s="1"/>
  <c r="DI32" i="1"/>
  <c r="DI33" i="1"/>
  <c r="DI34" i="1"/>
  <c r="DI35" i="1"/>
  <c r="DI36" i="1"/>
  <c r="DI37" i="1"/>
  <c r="DI38" i="1"/>
  <c r="DI39" i="1"/>
  <c r="DI40" i="1"/>
  <c r="DI31" i="1"/>
  <c r="DI18" i="1"/>
  <c r="DI19" i="1"/>
  <c r="DI20" i="1"/>
  <c r="DI21" i="1"/>
  <c r="DI22" i="1"/>
  <c r="DI23" i="1"/>
  <c r="DI24" i="1"/>
  <c r="DI25" i="1"/>
  <c r="DI26" i="1"/>
  <c r="DI17" i="1"/>
  <c r="DI5" i="1"/>
  <c r="DI6" i="1"/>
  <c r="DI7" i="1"/>
  <c r="DI8" i="1"/>
  <c r="DI9" i="1"/>
  <c r="DI10" i="1"/>
  <c r="DI11" i="1"/>
  <c r="DI12" i="1"/>
  <c r="DI4" i="1"/>
  <c r="CX5" i="1"/>
  <c r="CX6" i="1"/>
  <c r="CX7" i="1"/>
  <c r="CX8" i="1"/>
  <c r="CX9" i="1"/>
  <c r="CX11" i="1"/>
  <c r="CX12" i="1"/>
  <c r="CX4" i="1"/>
  <c r="CA32" i="1"/>
  <c r="CB32" i="1" s="1"/>
  <c r="CA33" i="1"/>
  <c r="CB33" i="1" s="1"/>
  <c r="CA34" i="1"/>
  <c r="CB34" i="1" s="1"/>
  <c r="CA35" i="1"/>
  <c r="CA36" i="1"/>
  <c r="CB36" i="1" s="1"/>
  <c r="CA37" i="1"/>
  <c r="CB37" i="1" s="1"/>
  <c r="CA38" i="1"/>
  <c r="CB38" i="1" s="1"/>
  <c r="CA39" i="1"/>
  <c r="CB39" i="1" s="1"/>
  <c r="CA40" i="1"/>
  <c r="CB40" i="1" s="1"/>
  <c r="CA31" i="1"/>
  <c r="CA18" i="1"/>
  <c r="CB18" i="1" s="1"/>
  <c r="CA19" i="1"/>
  <c r="CB19" i="1" s="1"/>
  <c r="CA20" i="1"/>
  <c r="CB20" i="1" s="1"/>
  <c r="CA21" i="1"/>
  <c r="CB21" i="1" s="1"/>
  <c r="CA22" i="1"/>
  <c r="CB22" i="1" s="1"/>
  <c r="CA23" i="1"/>
  <c r="CB23" i="1" s="1"/>
  <c r="CA24" i="1"/>
  <c r="CB24" i="1" s="1"/>
  <c r="CA25" i="1"/>
  <c r="CB25" i="1" s="1"/>
  <c r="CA26" i="1"/>
  <c r="CB26" i="1" s="1"/>
  <c r="CA17" i="1"/>
  <c r="CB17" i="1" s="1"/>
  <c r="CA5" i="1"/>
  <c r="CB5" i="1" s="1"/>
  <c r="CA6" i="1"/>
  <c r="CB6" i="1" s="1"/>
  <c r="CA7" i="1"/>
  <c r="CA8" i="1"/>
  <c r="CB8" i="1" s="1"/>
  <c r="CA9" i="1"/>
  <c r="CB9" i="1" s="1"/>
  <c r="CA10" i="1"/>
  <c r="CB10" i="1" s="1"/>
  <c r="CA11" i="1"/>
  <c r="CB11" i="1" s="1"/>
  <c r="CA12" i="1"/>
  <c r="CB12" i="1" s="1"/>
  <c r="AL32" i="1"/>
  <c r="AL33" i="1"/>
  <c r="AL34" i="1"/>
  <c r="AL35" i="1"/>
  <c r="AL36" i="1"/>
  <c r="AL37" i="1"/>
  <c r="AL38" i="1"/>
  <c r="AL39" i="1"/>
  <c r="AL40" i="1"/>
  <c r="AL31" i="1"/>
  <c r="AL18" i="1"/>
  <c r="AL19" i="1"/>
  <c r="AL20" i="1"/>
  <c r="AL21" i="1"/>
  <c r="AL22" i="1"/>
  <c r="AL23" i="1"/>
  <c r="AL24" i="1"/>
  <c r="AL25" i="1"/>
  <c r="AL26" i="1"/>
  <c r="AL9" i="1"/>
  <c r="AL10" i="1"/>
  <c r="AL11" i="1"/>
  <c r="AL12" i="1"/>
  <c r="FM32" i="1"/>
  <c r="FM33" i="1"/>
  <c r="FM34" i="1"/>
  <c r="FM35" i="1"/>
  <c r="FM36" i="1"/>
  <c r="FM37" i="1"/>
  <c r="FM38" i="1"/>
  <c r="FM39" i="1"/>
  <c r="FM40" i="1"/>
  <c r="FM31" i="1"/>
  <c r="FM18" i="1"/>
  <c r="FM19" i="1"/>
  <c r="FM20" i="1"/>
  <c r="FM21" i="1"/>
  <c r="FM22" i="1"/>
  <c r="FM23" i="1"/>
  <c r="FM24" i="1"/>
  <c r="FM25" i="1"/>
  <c r="FM26" i="1"/>
  <c r="FM17" i="1"/>
  <c r="FM5" i="1"/>
  <c r="FM6" i="1"/>
  <c r="FM7" i="1"/>
  <c r="FM8" i="1"/>
  <c r="FM9" i="1"/>
  <c r="FM10" i="1"/>
  <c r="FM11" i="1"/>
  <c r="FM12" i="1"/>
  <c r="DQ30" i="1" l="1"/>
  <c r="E20" i="9" s="1"/>
  <c r="DQ29" i="1"/>
  <c r="D20" i="9" s="1"/>
  <c r="DQ28" i="1"/>
  <c r="G20" i="9" s="1"/>
  <c r="DQ27" i="1"/>
  <c r="F20" i="9" s="1"/>
  <c r="IR27" i="1"/>
  <c r="K20" i="9" s="1"/>
  <c r="IR30" i="1"/>
  <c r="J20" i="9" s="1"/>
  <c r="IR29" i="1"/>
  <c r="I20" i="9" s="1"/>
  <c r="DQ14" i="1"/>
  <c r="G9" i="9" s="1"/>
  <c r="IR41" i="1"/>
  <c r="K31" i="9" s="1"/>
  <c r="DQ16" i="1"/>
  <c r="E9" i="9" s="1"/>
  <c r="IR47" i="1"/>
  <c r="IR13" i="1"/>
  <c r="K9" i="9" s="1"/>
  <c r="IR49" i="1"/>
  <c r="IR15" i="1"/>
  <c r="I9" i="9" s="1"/>
  <c r="IR50" i="1"/>
  <c r="IR16" i="1"/>
  <c r="J9" i="9" s="1"/>
  <c r="IR14" i="1"/>
  <c r="L9" i="9" s="1"/>
  <c r="IR43" i="1"/>
  <c r="I31" i="9" s="1"/>
  <c r="CB28" i="1"/>
  <c r="G17" i="9" s="1"/>
  <c r="IR44" i="1"/>
  <c r="J31" i="9" s="1"/>
  <c r="DQ15" i="1"/>
  <c r="D9" i="9" s="1"/>
  <c r="HC14" i="1"/>
  <c r="L6" i="9" s="1"/>
  <c r="HC48" i="1"/>
  <c r="HC13" i="1"/>
  <c r="K6" i="9" s="1"/>
  <c r="HC47" i="1"/>
  <c r="HC16" i="1"/>
  <c r="J6" i="9" s="1"/>
  <c r="HC50" i="1"/>
  <c r="HC15" i="1"/>
  <c r="I6" i="9" s="1"/>
  <c r="HC49" i="1"/>
  <c r="HC28" i="1"/>
  <c r="L17" i="9" s="1"/>
  <c r="HC27" i="1"/>
  <c r="K17" i="9" s="1"/>
  <c r="HC30" i="1"/>
  <c r="J17" i="9" s="1"/>
  <c r="HC29" i="1"/>
  <c r="I17" i="9" s="1"/>
  <c r="HC42" i="1"/>
  <c r="L28" i="9" s="1"/>
  <c r="HC41" i="1"/>
  <c r="K28" i="9" s="1"/>
  <c r="HC44" i="1"/>
  <c r="J28" i="9" s="1"/>
  <c r="HC43" i="1"/>
  <c r="I28" i="9" s="1"/>
  <c r="CB29" i="1"/>
  <c r="D17" i="9" s="1"/>
  <c r="CB30" i="1"/>
  <c r="E17" i="9" s="1"/>
  <c r="CB27" i="1"/>
  <c r="F17" i="9" s="1"/>
  <c r="FM50" i="1"/>
  <c r="HY50" i="1"/>
  <c r="HB50" i="1"/>
  <c r="IJ49" i="1"/>
  <c r="HJ49" i="1"/>
  <c r="FM49" i="1"/>
  <c r="IQ49" i="1"/>
  <c r="HJ50" i="1"/>
  <c r="DQ44" i="1"/>
  <c r="E31" i="9" s="1"/>
  <c r="DQ41" i="1"/>
  <c r="F31" i="9" s="1"/>
  <c r="DQ43" i="1"/>
  <c r="D31" i="9" s="1"/>
  <c r="DQ42" i="1"/>
  <c r="G31" i="9" s="1"/>
  <c r="DQ50" i="1"/>
  <c r="DQ49" i="1"/>
  <c r="DQ48" i="1"/>
  <c r="DQ47" i="1"/>
  <c r="FM43" i="1"/>
  <c r="I26" i="9" s="1"/>
  <c r="EB49" i="1"/>
  <c r="IJ29" i="1"/>
  <c r="I19" i="9" s="1"/>
  <c r="IJ50" i="1"/>
  <c r="HB49" i="1"/>
  <c r="HY49" i="1"/>
  <c r="DP29" i="1"/>
  <c r="IQ15" i="1"/>
  <c r="CX43" i="1"/>
  <c r="D29" i="9" s="1"/>
  <c r="IQ50" i="1"/>
  <c r="FM42" i="1"/>
  <c r="L26" i="9" s="1"/>
  <c r="AL44" i="1"/>
  <c r="E26" i="9" s="1"/>
  <c r="CA48" i="1"/>
  <c r="CA44" i="1"/>
  <c r="CX47" i="1"/>
  <c r="DI50" i="1"/>
  <c r="DI43" i="1"/>
  <c r="D30" i="9" s="1"/>
  <c r="DP48" i="1"/>
  <c r="DP30" i="1"/>
  <c r="DP44" i="1"/>
  <c r="EB50" i="1"/>
  <c r="EB30" i="1"/>
  <c r="E21" i="9" s="1"/>
  <c r="EB44" i="1"/>
  <c r="E32" i="9" s="1"/>
  <c r="FM47" i="1"/>
  <c r="HB16" i="1"/>
  <c r="HB30" i="1"/>
  <c r="HB43" i="1"/>
  <c r="IJ48" i="1"/>
  <c r="IJ30" i="1"/>
  <c r="J19" i="9" s="1"/>
  <c r="IJ44" i="1"/>
  <c r="J30" i="9" s="1"/>
  <c r="IQ16" i="1"/>
  <c r="IQ29" i="1"/>
  <c r="IQ44" i="1"/>
  <c r="HY15" i="1"/>
  <c r="I7" i="9" s="1"/>
  <c r="HY44" i="1"/>
  <c r="J29" i="9" s="1"/>
  <c r="CI49" i="1"/>
  <c r="CX29" i="1"/>
  <c r="D18" i="9" s="1"/>
  <c r="CX44" i="1"/>
  <c r="E29" i="9" s="1"/>
  <c r="HJ48" i="1"/>
  <c r="HJ43" i="1"/>
  <c r="I27" i="9" s="1"/>
  <c r="HY29" i="1"/>
  <c r="I18" i="9" s="1"/>
  <c r="AL49" i="1"/>
  <c r="CA47" i="1"/>
  <c r="CA30" i="1"/>
  <c r="FM30" i="1"/>
  <c r="J15" i="9" s="1"/>
  <c r="AL30" i="1"/>
  <c r="E15" i="9" s="1"/>
  <c r="CA15" i="1"/>
  <c r="DI49" i="1"/>
  <c r="DP15" i="1"/>
  <c r="DP43" i="1"/>
  <c r="HB15" i="1"/>
  <c r="IJ15" i="1"/>
  <c r="I8" i="9" s="1"/>
  <c r="IJ43" i="1"/>
  <c r="I30" i="9" s="1"/>
  <c r="CX30" i="1"/>
  <c r="E18" i="9" s="1"/>
  <c r="HJ47" i="1"/>
  <c r="AL43" i="1"/>
  <c r="D26" i="9" s="1"/>
  <c r="CA16" i="1"/>
  <c r="CA43" i="1"/>
  <c r="DI30" i="1"/>
  <c r="E19" i="9" s="1"/>
  <c r="DP47" i="1"/>
  <c r="EB48" i="1"/>
  <c r="EB43" i="1"/>
  <c r="D32" i="9" s="1"/>
  <c r="HB29" i="1"/>
  <c r="IJ47" i="1"/>
  <c r="IQ43" i="1"/>
  <c r="HJ30" i="1"/>
  <c r="J16" i="9" s="1"/>
  <c r="HY43" i="1"/>
  <c r="I29" i="9" s="1"/>
  <c r="CB7" i="1"/>
  <c r="CB14" i="1" s="1"/>
  <c r="G6" i="9" s="1"/>
  <c r="CB31" i="1"/>
  <c r="CB35" i="1"/>
  <c r="AL16" i="1"/>
  <c r="E4" i="9" s="1"/>
  <c r="DI16" i="1"/>
  <c r="E8" i="9" s="1"/>
  <c r="HY16" i="1"/>
  <c r="J7" i="9" s="1"/>
  <c r="CI44" i="1"/>
  <c r="E27" i="9" s="1"/>
  <c r="FM44" i="1"/>
  <c r="J26" i="9" s="1"/>
  <c r="HJ44" i="1"/>
  <c r="J27" i="9" s="1"/>
  <c r="CX48" i="1"/>
  <c r="FM48" i="1"/>
  <c r="CI50" i="1"/>
  <c r="DI29" i="1"/>
  <c r="D19" i="9" s="1"/>
  <c r="EB29" i="1"/>
  <c r="D21" i="9" s="1"/>
  <c r="FM29" i="1"/>
  <c r="I15" i="9" s="1"/>
  <c r="HJ29" i="1"/>
  <c r="I16" i="9" s="1"/>
  <c r="FM41" i="1"/>
  <c r="K26" i="9" s="1"/>
  <c r="HB41" i="1"/>
  <c r="HJ41" i="1"/>
  <c r="K27" i="9" s="1"/>
  <c r="HY41" i="1"/>
  <c r="K29" i="9" s="1"/>
  <c r="IJ41" i="1"/>
  <c r="K30" i="9" s="1"/>
  <c r="IQ41" i="1"/>
  <c r="AL47" i="1"/>
  <c r="CI47" i="1"/>
  <c r="DI47" i="1"/>
  <c r="EB47" i="1"/>
  <c r="HB47" i="1"/>
  <c r="HY47" i="1"/>
  <c r="IQ47" i="1"/>
  <c r="CA49" i="1"/>
  <c r="CX49" i="1"/>
  <c r="DP49" i="1"/>
  <c r="CI16" i="1"/>
  <c r="E5" i="9" s="1"/>
  <c r="EB16" i="1"/>
  <c r="E10" i="9" s="1"/>
  <c r="DI44" i="1"/>
  <c r="E30" i="9" s="1"/>
  <c r="HY30" i="1"/>
  <c r="J18" i="9" s="1"/>
  <c r="IQ30" i="1"/>
  <c r="HB44" i="1"/>
  <c r="AL50" i="1"/>
  <c r="CX15" i="1"/>
  <c r="D7" i="9" s="1"/>
  <c r="FM15" i="1"/>
  <c r="I4" i="9" s="1"/>
  <c r="AL29" i="1"/>
  <c r="D15" i="9" s="1"/>
  <c r="CI29" i="1"/>
  <c r="D16" i="9" s="1"/>
  <c r="HB48" i="1"/>
  <c r="HY48" i="1"/>
  <c r="IQ48" i="1"/>
  <c r="CA50" i="1"/>
  <c r="CX50" i="1"/>
  <c r="DP50" i="1"/>
  <c r="HJ15" i="1"/>
  <c r="I5" i="9" s="1"/>
  <c r="CA29" i="1"/>
  <c r="CX16" i="1"/>
  <c r="E7" i="9" s="1"/>
  <c r="DP16" i="1"/>
  <c r="FM16" i="1"/>
  <c r="J4" i="9" s="1"/>
  <c r="HJ16" i="1"/>
  <c r="J5" i="9" s="1"/>
  <c r="IJ16" i="1"/>
  <c r="J8" i="9" s="1"/>
  <c r="CI30" i="1"/>
  <c r="E16" i="9" s="1"/>
  <c r="HB42" i="1"/>
  <c r="HJ42" i="1"/>
  <c r="L27" i="9" s="1"/>
  <c r="HY42" i="1"/>
  <c r="L29" i="9" s="1"/>
  <c r="IJ42" i="1"/>
  <c r="L30" i="9" s="1"/>
  <c r="IQ42" i="1"/>
  <c r="AL48" i="1"/>
  <c r="CI48" i="1"/>
  <c r="DI48" i="1"/>
  <c r="AL15" i="1"/>
  <c r="D4" i="9" s="1"/>
  <c r="CI15" i="1"/>
  <c r="D5" i="9" s="1"/>
  <c r="DI15" i="1"/>
  <c r="D8" i="9" s="1"/>
  <c r="EB15" i="1"/>
  <c r="D10" i="9" s="1"/>
  <c r="CI43" i="1"/>
  <c r="D27" i="9" s="1"/>
  <c r="DI42" i="1"/>
  <c r="G30" i="9" s="1"/>
  <c r="HB13" i="1"/>
  <c r="IQ27" i="1"/>
  <c r="HY14" i="1"/>
  <c r="L7" i="9" s="1"/>
  <c r="CI14" i="1"/>
  <c r="G5" i="9" s="1"/>
  <c r="FM14" i="1"/>
  <c r="L4" i="9" s="1"/>
  <c r="FM28" i="1"/>
  <c r="L15" i="9" s="1"/>
  <c r="AL42" i="1"/>
  <c r="G26" i="9" s="1"/>
  <c r="CA28" i="1"/>
  <c r="DI13" i="1"/>
  <c r="F8" i="9" s="1"/>
  <c r="DP41" i="1"/>
  <c r="EB27" i="1"/>
  <c r="F21" i="9" s="1"/>
  <c r="AL28" i="1"/>
  <c r="G15" i="9" s="1"/>
  <c r="CA27" i="1"/>
  <c r="CX13" i="1"/>
  <c r="F7" i="9" s="1"/>
  <c r="DI14" i="1"/>
  <c r="G8" i="9" s="1"/>
  <c r="DP42" i="1"/>
  <c r="HB14" i="1"/>
  <c r="CX27" i="1"/>
  <c r="F18" i="9" s="1"/>
  <c r="HY27" i="1"/>
  <c r="K18" i="9" s="1"/>
  <c r="AL14" i="1"/>
  <c r="G4" i="9" s="1"/>
  <c r="FM13" i="1"/>
  <c r="K4" i="9" s="1"/>
  <c r="FM27" i="1"/>
  <c r="K15" i="9" s="1"/>
  <c r="DI27" i="1"/>
  <c r="F19" i="9" s="1"/>
  <c r="DP13" i="1"/>
  <c r="HB27" i="1"/>
  <c r="IJ13" i="1"/>
  <c r="K8" i="9" s="1"/>
  <c r="HJ13" i="1"/>
  <c r="K5" i="9" s="1"/>
  <c r="CA42" i="1"/>
  <c r="AL41" i="1"/>
  <c r="F26" i="9" s="1"/>
  <c r="CX14" i="1"/>
  <c r="G7" i="9" s="1"/>
  <c r="CX28" i="1"/>
  <c r="G18" i="9" s="1"/>
  <c r="DI28" i="1"/>
  <c r="DP14" i="1"/>
  <c r="DP27" i="1"/>
  <c r="EB14" i="1"/>
  <c r="G10" i="9" s="1"/>
  <c r="EB28" i="1"/>
  <c r="G21" i="9" s="1"/>
  <c r="EB42" i="1"/>
  <c r="G32" i="9" s="1"/>
  <c r="HB28" i="1"/>
  <c r="IJ14" i="1"/>
  <c r="L8" i="9" s="1"/>
  <c r="IJ27" i="1"/>
  <c r="K19" i="9" s="1"/>
  <c r="IQ14" i="1"/>
  <c r="IQ28" i="1"/>
  <c r="HY28" i="1"/>
  <c r="L18" i="9" s="1"/>
  <c r="CA14" i="1"/>
  <c r="CX42" i="1"/>
  <c r="G29" i="9" s="1"/>
  <c r="HJ14" i="1"/>
  <c r="L5" i="9" s="1"/>
  <c r="HJ27" i="1"/>
  <c r="K16" i="9" s="1"/>
  <c r="AL13" i="1"/>
  <c r="F4" i="9" s="1"/>
  <c r="CI28" i="1"/>
  <c r="G16" i="9" s="1"/>
  <c r="DP28" i="1"/>
  <c r="HJ28" i="1"/>
  <c r="L16" i="9" s="1"/>
  <c r="IJ28" i="1"/>
  <c r="L19" i="9" s="1"/>
  <c r="AL27" i="1"/>
  <c r="F15" i="9" s="1"/>
  <c r="CI13" i="1"/>
  <c r="F5" i="9" s="1"/>
  <c r="EB13" i="1"/>
  <c r="F10" i="9" s="1"/>
  <c r="HY13" i="1"/>
  <c r="K7" i="9" s="1"/>
  <c r="IQ13" i="1"/>
  <c r="CA41" i="1"/>
  <c r="CI41" i="1"/>
  <c r="F27" i="9" s="1"/>
  <c r="CX41" i="1"/>
  <c r="F29" i="9" s="1"/>
  <c r="DI41" i="1"/>
  <c r="F30" i="9" s="1"/>
  <c r="EB41" i="1"/>
  <c r="F32" i="9" s="1"/>
  <c r="CI42" i="1"/>
  <c r="G27" i="9" s="1"/>
  <c r="CA13" i="1"/>
  <c r="CI27" i="1"/>
  <c r="F16" i="9" s="1"/>
  <c r="CB16" i="1" l="1"/>
  <c r="E6" i="9" s="1"/>
  <c r="CB13" i="1"/>
  <c r="F6" i="9" s="1"/>
  <c r="CB15" i="1"/>
  <c r="D6" i="9" s="1"/>
  <c r="CB49" i="1"/>
  <c r="CB50" i="1"/>
  <c r="CB47" i="1"/>
  <c r="CB48" i="1"/>
  <c r="CB43" i="1"/>
  <c r="D28" i="9" s="1"/>
  <c r="CB42" i="1"/>
  <c r="G28" i="9" s="1"/>
  <c r="CB44" i="1"/>
  <c r="E28" i="9" s="1"/>
  <c r="CB41" i="1"/>
  <c r="F28" i="9" s="1"/>
</calcChain>
</file>

<file path=xl/sharedStrings.xml><?xml version="1.0" encoding="utf-8"?>
<sst xmlns="http://schemas.openxmlformats.org/spreadsheetml/2006/main" count="1153" uniqueCount="151">
  <si>
    <r>
      <t xml:space="preserve">  </t>
    </r>
    <r>
      <rPr>
        <b/>
        <sz val="11"/>
        <rFont val="Calibri"/>
        <family val="2"/>
      </rPr>
      <t>PCL5-5 with LEC-5</t>
    </r>
  </si>
  <si>
    <t>PTSD Havard Trauma Questionnaire</t>
  </si>
  <si>
    <t>PRIMARY CARE PTSD Screen for DSM-5</t>
  </si>
  <si>
    <r>
      <t xml:space="preserve">  </t>
    </r>
    <r>
      <rPr>
        <b/>
        <sz val="11"/>
        <color indexed="8"/>
        <rFont val="Calibri"/>
        <family val="2"/>
      </rPr>
      <t>Mental Health wellbeing (WEMWBS)</t>
    </r>
  </si>
  <si>
    <t>The 10-item CD-RISC</t>
  </si>
  <si>
    <t>Brief Resilience Scale (BRS)</t>
  </si>
  <si>
    <t>Participants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</si>
  <si>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</si>
  <si>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</si>
  <si>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</si>
  <si>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</si>
  <si>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</si>
  <si>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</si>
  <si>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</si>
  <si>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</si>
  <si>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</si>
  <si>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</si>
  <si>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</si>
  <si>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</si>
  <si>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</si>
  <si>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</si>
  <si>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</si>
  <si>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TOTAL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</si>
  <si>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</si>
  <si>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</si>
  <si>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</si>
  <si>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</si>
  <si>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</si>
  <si>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</si>
  <si>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</si>
  <si>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</si>
  <si>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</si>
  <si>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</si>
  <si>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</si>
  <si>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</si>
  <si>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</si>
  <si>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</si>
  <si>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</si>
  <si>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</si>
  <si>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</si>
  <si>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</si>
  <si>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</si>
  <si>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</si>
  <si>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</si>
  <si>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</si>
  <si>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</si>
  <si>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</si>
  <si>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</si>
  <si>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P01</t>
  </si>
  <si>
    <t>P02</t>
  </si>
  <si>
    <t>P03</t>
  </si>
  <si>
    <t>1,3</t>
  </si>
  <si>
    <t>P04</t>
  </si>
  <si>
    <t>P05</t>
  </si>
  <si>
    <t>P06</t>
  </si>
  <si>
    <t>P07</t>
  </si>
  <si>
    <t>2,3</t>
  </si>
  <si>
    <t>P21</t>
  </si>
  <si>
    <t>P29</t>
  </si>
  <si>
    <t>BASELINE (PRE)</t>
  </si>
  <si>
    <t>1,2</t>
  </si>
  <si>
    <t>3,4</t>
  </si>
  <si>
    <t>1,2,3</t>
  </si>
  <si>
    <t>P08</t>
  </si>
  <si>
    <t>P09</t>
  </si>
  <si>
    <t>P10</t>
  </si>
  <si>
    <t>P11</t>
  </si>
  <si>
    <t>2,3,</t>
  </si>
  <si>
    <t>P12</t>
  </si>
  <si>
    <t>P13</t>
  </si>
  <si>
    <t>P14</t>
  </si>
  <si>
    <t>P15</t>
  </si>
  <si>
    <t>P26</t>
  </si>
  <si>
    <t>P28</t>
  </si>
  <si>
    <t>P16</t>
  </si>
  <si>
    <t>P17</t>
  </si>
  <si>
    <t>P18</t>
  </si>
  <si>
    <t>P19</t>
  </si>
  <si>
    <t>P20</t>
  </si>
  <si>
    <t>P22</t>
  </si>
  <si>
    <t>P23</t>
  </si>
  <si>
    <t>P24</t>
  </si>
  <si>
    <t>P25</t>
  </si>
  <si>
    <t>3,6</t>
  </si>
  <si>
    <t>P27</t>
  </si>
  <si>
    <t>ENDLINE (POST)</t>
  </si>
  <si>
    <t>Groups</t>
  </si>
  <si>
    <t>CONTROL group</t>
  </si>
  <si>
    <t>BCI group</t>
  </si>
  <si>
    <t>Neurofeedback group</t>
  </si>
  <si>
    <t>General self efficacy</t>
  </si>
  <si>
    <t>Min</t>
  </si>
  <si>
    <t>Max</t>
  </si>
  <si>
    <t>SD</t>
  </si>
  <si>
    <t>Mean</t>
  </si>
  <si>
    <t>Overall</t>
  </si>
  <si>
    <t>mean should be ~51</t>
  </si>
  <si>
    <t>cut-off 3</t>
  </si>
  <si>
    <t>range: 10-40</t>
  </si>
  <si>
    <t>score: 6-30 (range)/6</t>
  </si>
  <si>
    <t>10 point reduction is clincally meaningful - see sheet2</t>
  </si>
  <si>
    <t>min</t>
  </si>
  <si>
    <t>max</t>
  </si>
  <si>
    <t>M</t>
  </si>
  <si>
    <t>NF</t>
  </si>
  <si>
    <t>MI</t>
  </si>
  <si>
    <t>Control</t>
  </si>
  <si>
    <t>PCL-5</t>
  </si>
  <si>
    <t>Pre - PCL-5</t>
  </si>
  <si>
    <t>Post-PCL-5</t>
  </si>
  <si>
    <t>&gt;10 = clinically significant</t>
  </si>
  <si>
    <t>Pre_PTSD screen</t>
  </si>
  <si>
    <t>Pre-HTQ</t>
  </si>
  <si>
    <t>Post-HTQ</t>
  </si>
  <si>
    <t>Post_PTSD screen</t>
  </si>
  <si>
    <t>cut-off: &gt;2.2</t>
  </si>
  <si>
    <t>clically significant if =/&gt;3</t>
  </si>
  <si>
    <t>clinically significant if &gt;2.2</t>
  </si>
  <si>
    <t>Pre-WEMWBS</t>
  </si>
  <si>
    <t>Post-WEMWBS</t>
  </si>
  <si>
    <t>Pre-CD-RISC</t>
  </si>
  <si>
    <t>Post-CD-RISC</t>
  </si>
  <si>
    <t>Pre-GSE</t>
  </si>
  <si>
    <t>Post-GSE</t>
  </si>
  <si>
    <t>Pre-BRS</t>
  </si>
  <si>
    <t>Post-BRS</t>
  </si>
  <si>
    <t>Normal is ~51</t>
  </si>
  <si>
    <t>Higher score indicates higher resillience</t>
  </si>
  <si>
    <t>Post- Increase</t>
  </si>
  <si>
    <t>Higher score indicates higher self-efficacy</t>
  </si>
  <si>
    <t>Range 0 - 40, higher scores equal higher resilience</t>
  </si>
  <si>
    <t xml:space="preserve"> higher scores equal higher self-efficacy</t>
  </si>
  <si>
    <t>min 1, max 5,  higher scores equal higher resilience</t>
  </si>
  <si>
    <t>HTQ</t>
  </si>
  <si>
    <t>PC-PTSD</t>
  </si>
  <si>
    <t>WEMWBS</t>
  </si>
  <si>
    <t>CD-RISC</t>
  </si>
  <si>
    <t>GSE</t>
  </si>
  <si>
    <t>BRS</t>
  </si>
  <si>
    <t>Pre</t>
  </si>
  <si>
    <t>Post</t>
  </si>
  <si>
    <t>B</t>
  </si>
  <si>
    <t>C</t>
  </si>
  <si>
    <t>D</t>
  </si>
  <si>
    <t>E</t>
  </si>
  <si>
    <t>PTSD Diagnostic and statistical manual of mental disorders (5th edition - DSM-5) check list (PCL-5) 20 items</t>
  </si>
  <si>
    <t>PTSD Havard Trauma Questionnaire (HTQ) 40 items</t>
  </si>
  <si>
    <t>PRIMARY CARE PTSD Screen for DSM-5 (PC-PTSD)</t>
  </si>
  <si>
    <t xml:space="preserve"> Item 3</t>
  </si>
  <si>
    <t>General self efficacy (GSE) 10 items</t>
  </si>
  <si>
    <t>Brief Resilience Scale (BRS) 6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</si>
</sst>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0" fillId="3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  <xf numFmtId="0" fontId="4" fillId="6" borderId="0" xfId="0" applyFont="1" applyFill="1"/>
    <xf numFmtId="0" fontId="4" fillId="0" borderId="0" xfId="0" applyFont="1"/>
    <xf numFmtId="0" fontId="0" fillId="9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6" fillId="11" borderId="0" xfId="0" applyFont="1" applyFill="1"/>
    <xf numFmtId="0" fontId="4" fillId="0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6" fillId="17" borderId="0" xfId="0" applyFont="1" applyFill="1"/>
    <xf numFmtId="0" fontId="6" fillId="16" borderId="0" xfId="0" applyFont="1" applyFill="1"/>
    <xf numFmtId="0" fontId="0" fillId="18" borderId="0" xfId="0" applyFill="1"/>
    <xf numFmtId="0" fontId="4" fillId="18" borderId="0" xfId="0" applyFont="1" applyFill="1"/>
    <xf numFmtId="0" fontId="0" fillId="19" borderId="0" xfId="0" applyFill="1"/>
    <xf numFmtId="0" fontId="5" fillId="19" borderId="0" xfId="0" applyFont="1" applyFill="1"/>
    <xf numFmtId="0" fontId="0" fillId="20" borderId="0" xfId="0" applyFill="1"/>
    <xf numFmtId="0" fontId="7" fillId="20" borderId="0" xfId="0" applyFont="1" applyFill="1"/>
    <xf numFmtId="0" fontId="4" fillId="20" borderId="0" xfId="0" applyFont="1" applyFill="1"/>
    <xf numFmtId="0" fontId="0" fillId="21" borderId="0" xfId="0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54"/>
  <sheetViews>
    <sheetView topLeftCell="IA18" workbookViewId="0">
      <selection activeCell="JC41" sqref="JC41:JC44"/>
    </sheetView>
  </sheetViews>
  <sheetFormatPr defaultRowHeight="15" x14ac:dyDescent="0.25"/>
  <cols>
    <col min="1" max="2" width="15.140625" customWidth="1"/>
    <col min="86" max="86" width="9.140625" style="20"/>
    <col min="133" max="133" width="9.140625" style="17"/>
  </cols>
  <sheetData>
    <row r="1" spans="1:263" x14ac:dyDescent="0.25">
      <c r="A1" s="41" t="s">
        <v>59</v>
      </c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D1" s="41" t="s">
        <v>85</v>
      </c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HN1" s="42"/>
      <c r="HO1" s="42"/>
      <c r="HP1" s="42"/>
      <c r="HQ1" s="42"/>
      <c r="HR1" s="42"/>
      <c r="HS1" s="42"/>
      <c r="HT1" s="42"/>
      <c r="HU1" s="42"/>
      <c r="HV1" s="42"/>
      <c r="HW1" s="42"/>
      <c r="HX1" s="42"/>
      <c r="HY1" s="42"/>
      <c r="HZ1" s="42"/>
      <c r="IA1" s="42"/>
      <c r="IB1" s="42"/>
      <c r="IC1" s="42"/>
      <c r="ID1" s="42"/>
      <c r="IE1" s="42"/>
      <c r="IF1" s="42"/>
      <c r="IG1" s="42"/>
      <c r="IH1" s="42"/>
      <c r="II1" s="42"/>
      <c r="IJ1" s="42"/>
      <c r="IK1" s="42"/>
      <c r="IL1" s="42"/>
      <c r="IM1" s="42"/>
      <c r="IN1" s="42"/>
      <c r="IO1" s="42"/>
      <c r="IP1" s="42"/>
      <c r="IQ1" s="42"/>
      <c r="IR1" s="42"/>
      <c r="IS1" s="42"/>
      <c r="IT1" s="42"/>
      <c r="IU1" s="42"/>
      <c r="IV1" s="42"/>
      <c r="IW1" s="42"/>
      <c r="IX1" s="42"/>
      <c r="IY1" s="42"/>
      <c r="IZ1" s="42"/>
    </row>
    <row r="2" spans="1:263" x14ac:dyDescent="0.25">
      <c r="A2" s="47" t="s">
        <v>6</v>
      </c>
      <c r="B2" s="47" t="s">
        <v>86</v>
      </c>
      <c r="C2" s="43" t="s">
        <v>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1"/>
      <c r="R2" s="49" t="s">
        <v>145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5" t="s">
        <v>146</v>
      </c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22"/>
      <c r="CC2" s="50" t="s">
        <v>147</v>
      </c>
      <c r="CD2" s="51"/>
      <c r="CE2" s="51"/>
      <c r="CF2" s="51"/>
      <c r="CG2" s="51"/>
      <c r="CH2" s="51"/>
      <c r="CI2" s="51"/>
      <c r="CJ2" s="52" t="s">
        <v>3</v>
      </c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3" t="s">
        <v>4</v>
      </c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4" t="s">
        <v>150</v>
      </c>
      <c r="DK2" s="55"/>
      <c r="DL2" s="55"/>
      <c r="DM2" s="55"/>
      <c r="DN2" s="55"/>
      <c r="DO2" s="55"/>
      <c r="DP2" s="55"/>
      <c r="DQ2" s="21"/>
      <c r="DR2" s="57" t="s">
        <v>149</v>
      </c>
      <c r="DS2" s="56"/>
      <c r="DT2" s="56"/>
      <c r="DU2" s="56"/>
      <c r="DV2" s="56"/>
      <c r="DW2" s="56"/>
      <c r="DX2" s="56"/>
      <c r="DY2" s="56"/>
      <c r="DZ2" s="56"/>
      <c r="EA2" s="56"/>
      <c r="EB2" s="56"/>
      <c r="ED2" s="43" t="s">
        <v>0</v>
      </c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1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5" t="s">
        <v>1</v>
      </c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22"/>
      <c r="HD2" s="50" t="s">
        <v>2</v>
      </c>
      <c r="HE2" s="51"/>
      <c r="HF2" s="51"/>
      <c r="HG2" s="51"/>
      <c r="HH2" s="51"/>
      <c r="HI2" s="51"/>
      <c r="HJ2" s="51"/>
      <c r="HK2" s="52" t="s">
        <v>3</v>
      </c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3" t="s">
        <v>4</v>
      </c>
      <c r="IA2" s="53"/>
      <c r="IB2" s="53"/>
      <c r="IC2" s="53"/>
      <c r="ID2" s="53"/>
      <c r="IE2" s="53"/>
      <c r="IF2" s="53"/>
      <c r="IG2" s="53"/>
      <c r="IH2" s="53"/>
      <c r="II2" s="53"/>
      <c r="IJ2" s="53"/>
      <c r="IK2" s="54" t="s">
        <v>5</v>
      </c>
      <c r="IL2" s="55"/>
      <c r="IM2" s="55"/>
      <c r="IN2" s="55"/>
      <c r="IO2" s="55"/>
      <c r="IP2" s="55"/>
      <c r="IQ2" s="55"/>
      <c r="IR2" s="21"/>
      <c r="IS2" s="56" t="s">
        <v>90</v>
      </c>
      <c r="IT2" s="56"/>
      <c r="IU2" s="56"/>
      <c r="IV2" s="56"/>
      <c r="IW2" s="56"/>
      <c r="IX2" s="56"/>
      <c r="IY2" s="56"/>
      <c r="IZ2" s="56"/>
      <c r="JA2" s="16"/>
      <c r="JB2" s="16"/>
      <c r="JC2" s="16"/>
    </row>
    <row r="3" spans="1:263" ht="15.75" x14ac:dyDescent="0.25">
      <c r="A3" s="47"/>
      <c r="B3" s="47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/>
      <c r="R3" s="3" t="s">
        <v>7</v>
      </c>
      <c r="S3" s="3" t="s">
        <v>8</v>
      </c>
      <c r="T3" s="3" t="s">
        <v>9</v>
      </c>
      <c r="U3" s="3" t="s">
        <v>10</v>
      </c>
      <c r="V3" s="3" t="s">
        <v>11</v>
      </c>
      <c r="W3" s="3" t="s">
        <v>12</v>
      </c>
      <c r="X3" s="3" t="s">
        <v>13</v>
      </c>
      <c r="Y3" s="3" t="s">
        <v>14</v>
      </c>
      <c r="Z3" s="3" t="s">
        <v>15</v>
      </c>
      <c r="AA3" s="3" t="s">
        <v>16</v>
      </c>
      <c r="AB3" s="3" t="s">
        <v>17</v>
      </c>
      <c r="AC3" s="3" t="s">
        <v>18</v>
      </c>
      <c r="AD3" s="3" t="s">
        <v>19</v>
      </c>
      <c r="AE3" s="3" t="s">
        <v>20</v>
      </c>
      <c r="AF3" s="3" t="s">
        <v>21</v>
      </c>
      <c r="AG3" s="3" t="s">
        <v>23</v>
      </c>
      <c r="AH3" s="3" t="s">
        <v>24</v>
      </c>
      <c r="AI3" s="3" t="s">
        <v>25</v>
      </c>
      <c r="AJ3" s="3" t="s">
        <v>26</v>
      </c>
      <c r="AK3" s="3" t="s">
        <v>27</v>
      </c>
      <c r="AL3" s="3" t="s">
        <v>22</v>
      </c>
      <c r="AM3" s="4" t="s">
        <v>7</v>
      </c>
      <c r="AN3" s="4" t="s">
        <v>8</v>
      </c>
      <c r="AO3" s="4" t="s">
        <v>9</v>
      </c>
      <c r="AP3" s="4" t="s">
        <v>10</v>
      </c>
      <c r="AQ3" s="4" t="s">
        <v>11</v>
      </c>
      <c r="AR3" s="4" t="s">
        <v>12</v>
      </c>
      <c r="AS3" s="4" t="s">
        <v>13</v>
      </c>
      <c r="AT3" s="4" t="s">
        <v>14</v>
      </c>
      <c r="AU3" s="4" t="s">
        <v>15</v>
      </c>
      <c r="AV3" s="4" t="s">
        <v>16</v>
      </c>
      <c r="AW3" s="4" t="s">
        <v>17</v>
      </c>
      <c r="AX3" s="4" t="s">
        <v>18</v>
      </c>
      <c r="AY3" s="4" t="s">
        <v>19</v>
      </c>
      <c r="AZ3" s="4" t="s">
        <v>20</v>
      </c>
      <c r="BA3" s="4" t="s">
        <v>21</v>
      </c>
      <c r="BB3" s="4" t="s">
        <v>23</v>
      </c>
      <c r="BC3" s="4" t="s">
        <v>24</v>
      </c>
      <c r="BD3" s="4" t="s">
        <v>25</v>
      </c>
      <c r="BE3" s="4" t="s">
        <v>26</v>
      </c>
      <c r="BF3" s="4" t="s">
        <v>27</v>
      </c>
      <c r="BG3" s="4" t="s">
        <v>28</v>
      </c>
      <c r="BH3" s="4" t="s">
        <v>29</v>
      </c>
      <c r="BI3" s="4" t="s">
        <v>30</v>
      </c>
      <c r="BJ3" s="4" t="s">
        <v>31</v>
      </c>
      <c r="BK3" s="4" t="s">
        <v>32</v>
      </c>
      <c r="BL3" s="4" t="s">
        <v>33</v>
      </c>
      <c r="BM3" s="4" t="s">
        <v>34</v>
      </c>
      <c r="BN3" s="4" t="s">
        <v>35</v>
      </c>
      <c r="BO3" s="4" t="s">
        <v>36</v>
      </c>
      <c r="BP3" s="4" t="s">
        <v>37</v>
      </c>
      <c r="BQ3" s="4" t="s">
        <v>38</v>
      </c>
      <c r="BR3" s="4" t="s">
        <v>39</v>
      </c>
      <c r="BS3" s="4" t="s">
        <v>40</v>
      </c>
      <c r="BT3" s="4" t="s">
        <v>41</v>
      </c>
      <c r="BU3" s="4" t="s">
        <v>42</v>
      </c>
      <c r="BV3" s="4" t="s">
        <v>43</v>
      </c>
      <c r="BW3" s="4" t="s">
        <v>44</v>
      </c>
      <c r="BX3" s="4" t="s">
        <v>45</v>
      </c>
      <c r="BY3" s="4" t="s">
        <v>46</v>
      </c>
      <c r="BZ3" s="4" t="s">
        <v>47</v>
      </c>
      <c r="CA3" s="5" t="s">
        <v>22</v>
      </c>
      <c r="CB3" s="5"/>
      <c r="CC3" s="6"/>
      <c r="CD3" s="7" t="s">
        <v>7</v>
      </c>
      <c r="CE3" s="7" t="s">
        <v>8</v>
      </c>
      <c r="CF3" s="7" t="s">
        <v>148</v>
      </c>
      <c r="CG3" s="7" t="s">
        <v>10</v>
      </c>
      <c r="CH3" s="19" t="s">
        <v>11</v>
      </c>
      <c r="CI3" s="7" t="s">
        <v>22</v>
      </c>
      <c r="CJ3" s="8" t="s">
        <v>7</v>
      </c>
      <c r="CK3" s="8" t="s">
        <v>8</v>
      </c>
      <c r="CL3" s="8" t="s">
        <v>9</v>
      </c>
      <c r="CM3" s="8" t="s">
        <v>10</v>
      </c>
      <c r="CN3" s="8" t="s">
        <v>11</v>
      </c>
      <c r="CO3" s="8" t="s">
        <v>12</v>
      </c>
      <c r="CP3" s="8" t="s">
        <v>13</v>
      </c>
      <c r="CQ3" s="8" t="s">
        <v>14</v>
      </c>
      <c r="CR3" s="8" t="s">
        <v>15</v>
      </c>
      <c r="CS3" s="8" t="s">
        <v>16</v>
      </c>
      <c r="CT3" s="8" t="s">
        <v>17</v>
      </c>
      <c r="CU3" s="8" t="s">
        <v>18</v>
      </c>
      <c r="CV3" s="8" t="s">
        <v>19</v>
      </c>
      <c r="CW3" s="8" t="s">
        <v>20</v>
      </c>
      <c r="CX3" s="8" t="s">
        <v>22</v>
      </c>
      <c r="CY3" s="9" t="s">
        <v>7</v>
      </c>
      <c r="CZ3" s="9" t="s">
        <v>8</v>
      </c>
      <c r="DA3" s="9" t="s">
        <v>9</v>
      </c>
      <c r="DB3" s="9" t="s">
        <v>10</v>
      </c>
      <c r="DC3" s="9" t="s">
        <v>11</v>
      </c>
      <c r="DD3" s="9" t="s">
        <v>12</v>
      </c>
      <c r="DE3" s="9" t="s">
        <v>13</v>
      </c>
      <c r="DF3" s="9" t="s">
        <v>14</v>
      </c>
      <c r="DG3" s="9" t="s">
        <v>15</v>
      </c>
      <c r="DH3" s="9" t="s">
        <v>16</v>
      </c>
      <c r="DI3" s="9" t="s">
        <v>22</v>
      </c>
      <c r="DJ3" s="10" t="s">
        <v>7</v>
      </c>
      <c r="DK3" s="10" t="s">
        <v>8</v>
      </c>
      <c r="DL3" s="10" t="s">
        <v>9</v>
      </c>
      <c r="DM3" s="10" t="s">
        <v>10</v>
      </c>
      <c r="DN3" s="10" t="s">
        <v>11</v>
      </c>
      <c r="DO3" s="10" t="s">
        <v>12</v>
      </c>
      <c r="DP3" s="10" t="s">
        <v>22</v>
      </c>
      <c r="DQ3" s="10"/>
      <c r="DR3" s="11" t="s">
        <v>7</v>
      </c>
      <c r="DS3" s="11" t="s">
        <v>8</v>
      </c>
      <c r="DT3" s="11" t="s">
        <v>9</v>
      </c>
      <c r="DU3" s="11" t="s">
        <v>10</v>
      </c>
      <c r="DV3" s="11" t="s">
        <v>11</v>
      </c>
      <c r="DW3" s="11" t="s">
        <v>12</v>
      </c>
      <c r="DX3" s="11" t="s">
        <v>13</v>
      </c>
      <c r="DY3" s="11" t="s">
        <v>14</v>
      </c>
      <c r="DZ3" s="11" t="s">
        <v>15</v>
      </c>
      <c r="EA3" s="11" t="s">
        <v>16</v>
      </c>
      <c r="EB3" s="11" t="s">
        <v>22</v>
      </c>
      <c r="ED3" s="2" t="s">
        <v>7</v>
      </c>
      <c r="EE3" s="2" t="s">
        <v>8</v>
      </c>
      <c r="EF3" s="2" t="s">
        <v>9</v>
      </c>
      <c r="EG3" s="2" t="s">
        <v>10</v>
      </c>
      <c r="EH3" s="2" t="s">
        <v>11</v>
      </c>
      <c r="EI3" s="2" t="s">
        <v>12</v>
      </c>
      <c r="EJ3" s="2" t="s">
        <v>13</v>
      </c>
      <c r="EK3" s="2" t="s">
        <v>14</v>
      </c>
      <c r="EL3" s="2" t="s">
        <v>15</v>
      </c>
      <c r="EM3" s="2" t="s">
        <v>16</v>
      </c>
      <c r="EN3" s="2" t="s">
        <v>17</v>
      </c>
      <c r="EO3" s="2" t="s">
        <v>18</v>
      </c>
      <c r="EP3" s="2" t="s">
        <v>19</v>
      </c>
      <c r="EQ3" s="2" t="s">
        <v>20</v>
      </c>
      <c r="ER3" s="2" t="s">
        <v>22</v>
      </c>
      <c r="ES3" s="3" t="s">
        <v>7</v>
      </c>
      <c r="ET3" s="3" t="s">
        <v>8</v>
      </c>
      <c r="EU3" s="3" t="s">
        <v>9</v>
      </c>
      <c r="EV3" s="3" t="s">
        <v>10</v>
      </c>
      <c r="EW3" s="3" t="s">
        <v>11</v>
      </c>
      <c r="EX3" s="3" t="s">
        <v>12</v>
      </c>
      <c r="EY3" s="3" t="s">
        <v>13</v>
      </c>
      <c r="EZ3" s="3" t="s">
        <v>14</v>
      </c>
      <c r="FA3" s="3" t="s">
        <v>15</v>
      </c>
      <c r="FB3" s="3" t="s">
        <v>16</v>
      </c>
      <c r="FC3" s="3" t="s">
        <v>17</v>
      </c>
      <c r="FD3" s="3" t="s">
        <v>18</v>
      </c>
      <c r="FE3" s="3" t="s">
        <v>19</v>
      </c>
      <c r="FF3" s="3" t="s">
        <v>20</v>
      </c>
      <c r="FG3" s="3" t="s">
        <v>21</v>
      </c>
      <c r="FH3" s="3" t="s">
        <v>23</v>
      </c>
      <c r="FI3" s="3" t="s">
        <v>24</v>
      </c>
      <c r="FJ3" s="3" t="s">
        <v>25</v>
      </c>
      <c r="FK3" s="3" t="s">
        <v>26</v>
      </c>
      <c r="FL3" s="3" t="s">
        <v>27</v>
      </c>
      <c r="FM3" s="3" t="s">
        <v>22</v>
      </c>
      <c r="FN3" s="4" t="s">
        <v>7</v>
      </c>
      <c r="FO3" s="4" t="s">
        <v>8</v>
      </c>
      <c r="FP3" s="4" t="s">
        <v>9</v>
      </c>
      <c r="FQ3" s="4" t="s">
        <v>10</v>
      </c>
      <c r="FR3" s="4" t="s">
        <v>11</v>
      </c>
      <c r="FS3" s="4" t="s">
        <v>12</v>
      </c>
      <c r="FT3" s="4" t="s">
        <v>13</v>
      </c>
      <c r="FU3" s="4" t="s">
        <v>14</v>
      </c>
      <c r="FV3" s="4" t="s">
        <v>15</v>
      </c>
      <c r="FW3" s="4" t="s">
        <v>16</v>
      </c>
      <c r="FX3" s="4" t="s">
        <v>17</v>
      </c>
      <c r="FY3" s="4" t="s">
        <v>18</v>
      </c>
      <c r="FZ3" s="4" t="s">
        <v>19</v>
      </c>
      <c r="GA3" s="4" t="s">
        <v>20</v>
      </c>
      <c r="GB3" s="4" t="s">
        <v>21</v>
      </c>
      <c r="GC3" s="4" t="s">
        <v>23</v>
      </c>
      <c r="GD3" s="4" t="s">
        <v>24</v>
      </c>
      <c r="GE3" s="4" t="s">
        <v>25</v>
      </c>
      <c r="GF3" s="4" t="s">
        <v>26</v>
      </c>
      <c r="GG3" s="4" t="s">
        <v>27</v>
      </c>
      <c r="GH3" s="4" t="s">
        <v>28</v>
      </c>
      <c r="GI3" s="4" t="s">
        <v>29</v>
      </c>
      <c r="GJ3" s="4" t="s">
        <v>30</v>
      </c>
      <c r="GK3" s="4" t="s">
        <v>31</v>
      </c>
      <c r="GL3" s="4" t="s">
        <v>32</v>
      </c>
      <c r="GM3" s="4" t="s">
        <v>33</v>
      </c>
      <c r="GN3" s="4" t="s">
        <v>34</v>
      </c>
      <c r="GO3" s="4" t="s">
        <v>35</v>
      </c>
      <c r="GP3" s="4" t="s">
        <v>36</v>
      </c>
      <c r="GQ3" s="4" t="s">
        <v>37</v>
      </c>
      <c r="GR3" s="4" t="s">
        <v>38</v>
      </c>
      <c r="GS3" s="4" t="s">
        <v>39</v>
      </c>
      <c r="GT3" s="4" t="s">
        <v>40</v>
      </c>
      <c r="GU3" s="4" t="s">
        <v>41</v>
      </c>
      <c r="GV3" s="4" t="s">
        <v>42</v>
      </c>
      <c r="GW3" s="4" t="s">
        <v>43</v>
      </c>
      <c r="GX3" s="4" t="s">
        <v>44</v>
      </c>
      <c r="GY3" s="4" t="s">
        <v>45</v>
      </c>
      <c r="GZ3" s="4" t="s">
        <v>46</v>
      </c>
      <c r="HA3" s="4" t="s">
        <v>47</v>
      </c>
      <c r="HB3" s="5" t="s">
        <v>22</v>
      </c>
      <c r="HC3" s="5"/>
      <c r="HD3" s="6"/>
      <c r="HE3" s="7"/>
      <c r="HF3" s="7"/>
      <c r="HG3" s="7"/>
      <c r="HH3" s="7"/>
      <c r="HI3" s="7"/>
      <c r="HJ3" s="7"/>
      <c r="HK3" s="8" t="s">
        <v>7</v>
      </c>
      <c r="HL3" s="8" t="s">
        <v>8</v>
      </c>
      <c r="HM3" s="8" t="s">
        <v>9</v>
      </c>
      <c r="HN3" s="8" t="s">
        <v>10</v>
      </c>
      <c r="HO3" s="8" t="s">
        <v>11</v>
      </c>
      <c r="HP3" s="8" t="s">
        <v>12</v>
      </c>
      <c r="HQ3" s="8" t="s">
        <v>13</v>
      </c>
      <c r="HR3" s="8" t="s">
        <v>14</v>
      </c>
      <c r="HS3" s="8" t="s">
        <v>15</v>
      </c>
      <c r="HT3" s="8" t="s">
        <v>16</v>
      </c>
      <c r="HU3" s="8" t="s">
        <v>17</v>
      </c>
      <c r="HV3" s="8" t="s">
        <v>18</v>
      </c>
      <c r="HW3" s="8" t="s">
        <v>19</v>
      </c>
      <c r="HX3" s="8" t="s">
        <v>20</v>
      </c>
      <c r="HY3" s="8" t="s">
        <v>22</v>
      </c>
      <c r="HZ3" s="9" t="s">
        <v>7</v>
      </c>
      <c r="IA3" s="9" t="s">
        <v>8</v>
      </c>
      <c r="IB3" s="9" t="s">
        <v>9</v>
      </c>
      <c r="IC3" s="9" t="s">
        <v>10</v>
      </c>
      <c r="ID3" s="9" t="s">
        <v>11</v>
      </c>
      <c r="IE3" s="9" t="s">
        <v>12</v>
      </c>
      <c r="IF3" s="9" t="s">
        <v>13</v>
      </c>
      <c r="IG3" s="9" t="s">
        <v>14</v>
      </c>
      <c r="IH3" s="9" t="s">
        <v>15</v>
      </c>
      <c r="II3" s="9" t="s">
        <v>16</v>
      </c>
      <c r="IJ3" s="9" t="s">
        <v>22</v>
      </c>
      <c r="IK3" s="10" t="s">
        <v>7</v>
      </c>
      <c r="IL3" s="10" t="s">
        <v>8</v>
      </c>
      <c r="IM3" s="10" t="s">
        <v>9</v>
      </c>
      <c r="IN3" s="10" t="s">
        <v>10</v>
      </c>
      <c r="IO3" s="10" t="s">
        <v>11</v>
      </c>
      <c r="IP3" s="10" t="s">
        <v>12</v>
      </c>
      <c r="IQ3" s="10" t="s">
        <v>22</v>
      </c>
      <c r="IR3" s="10"/>
      <c r="IS3" s="11" t="s">
        <v>7</v>
      </c>
      <c r="IT3" s="11" t="s">
        <v>8</v>
      </c>
      <c r="IU3" s="11" t="s">
        <v>9</v>
      </c>
      <c r="IV3" s="11" t="s">
        <v>10</v>
      </c>
      <c r="IW3" s="11" t="s">
        <v>11</v>
      </c>
      <c r="IX3" s="11" t="s">
        <v>12</v>
      </c>
      <c r="IY3" s="11" t="s">
        <v>13</v>
      </c>
      <c r="IZ3" s="11" t="s">
        <v>14</v>
      </c>
      <c r="JA3" s="16" t="s">
        <v>15</v>
      </c>
      <c r="JB3" s="16" t="s">
        <v>16</v>
      </c>
      <c r="JC3" s="16" t="s">
        <v>22</v>
      </c>
    </row>
    <row r="4" spans="1:263" x14ac:dyDescent="0.25">
      <c r="A4" t="s">
        <v>48</v>
      </c>
      <c r="B4" s="47" t="s">
        <v>87</v>
      </c>
      <c r="C4">
        <v>1</v>
      </c>
      <c r="D4">
        <v>3</v>
      </c>
      <c r="E4">
        <v>1</v>
      </c>
      <c r="F4">
        <v>1</v>
      </c>
      <c r="G4">
        <v>2</v>
      </c>
      <c r="H4">
        <v>2</v>
      </c>
      <c r="I4">
        <v>2</v>
      </c>
      <c r="J4">
        <v>5</v>
      </c>
      <c r="K4">
        <v>5</v>
      </c>
      <c r="L4">
        <v>1</v>
      </c>
      <c r="M4">
        <v>1</v>
      </c>
      <c r="N4">
        <v>1</v>
      </c>
      <c r="O4">
        <v>1</v>
      </c>
      <c r="P4">
        <v>2</v>
      </c>
      <c r="Q4" s="1"/>
      <c r="R4" s="25">
        <v>3</v>
      </c>
      <c r="S4" s="25">
        <v>3</v>
      </c>
      <c r="T4" s="25">
        <v>0</v>
      </c>
      <c r="U4" s="25">
        <v>4</v>
      </c>
      <c r="V4" s="25">
        <v>2</v>
      </c>
      <c r="W4" s="6">
        <v>2</v>
      </c>
      <c r="X4" s="6">
        <v>3</v>
      </c>
      <c r="Y4" s="38">
        <v>0</v>
      </c>
      <c r="Z4" s="38">
        <v>2</v>
      </c>
      <c r="AA4" s="38">
        <v>3</v>
      </c>
      <c r="AB4" s="38">
        <v>4</v>
      </c>
      <c r="AC4" s="38">
        <v>4</v>
      </c>
      <c r="AD4" s="38">
        <v>4</v>
      </c>
      <c r="AE4" s="38">
        <v>4</v>
      </c>
      <c r="AF4" s="35">
        <v>2</v>
      </c>
      <c r="AG4" s="35">
        <v>0</v>
      </c>
      <c r="AH4" s="35">
        <v>2</v>
      </c>
      <c r="AI4" s="35">
        <v>2</v>
      </c>
      <c r="AJ4" s="35">
        <v>4</v>
      </c>
      <c r="AK4" s="35">
        <v>4</v>
      </c>
      <c r="AL4" s="12">
        <f t="shared" ref="AL4:AL12" si="0">SUM(R4:AK4)</f>
        <v>52</v>
      </c>
      <c r="AM4">
        <v>4</v>
      </c>
      <c r="AN4">
        <v>4</v>
      </c>
      <c r="AO4">
        <v>3</v>
      </c>
      <c r="AP4">
        <v>4</v>
      </c>
      <c r="AQ4">
        <v>2</v>
      </c>
      <c r="AR4">
        <v>3</v>
      </c>
      <c r="AS4">
        <v>3</v>
      </c>
      <c r="AT4">
        <v>4</v>
      </c>
      <c r="AU4">
        <v>3</v>
      </c>
      <c r="AV4">
        <v>1</v>
      </c>
      <c r="AW4">
        <v>3</v>
      </c>
      <c r="AX4">
        <v>1</v>
      </c>
      <c r="AY4">
        <v>1</v>
      </c>
      <c r="AZ4">
        <v>2</v>
      </c>
      <c r="BA4">
        <v>2</v>
      </c>
      <c r="BB4">
        <v>2</v>
      </c>
      <c r="BC4">
        <v>3</v>
      </c>
      <c r="BD4">
        <v>1</v>
      </c>
      <c r="BE4">
        <v>2</v>
      </c>
      <c r="BF4">
        <v>2</v>
      </c>
      <c r="BG4">
        <v>1</v>
      </c>
      <c r="BH4">
        <v>1</v>
      </c>
      <c r="BI4">
        <v>1</v>
      </c>
      <c r="BJ4">
        <v>3</v>
      </c>
      <c r="BK4">
        <v>1</v>
      </c>
      <c r="BL4">
        <v>1</v>
      </c>
      <c r="BM4">
        <v>1</v>
      </c>
      <c r="BN4">
        <v>2</v>
      </c>
      <c r="BO4">
        <v>2</v>
      </c>
      <c r="BP4">
        <v>1</v>
      </c>
      <c r="BQ4">
        <v>1</v>
      </c>
      <c r="BR4">
        <v>2</v>
      </c>
      <c r="BS4">
        <v>4</v>
      </c>
      <c r="BT4">
        <v>2</v>
      </c>
      <c r="BU4">
        <v>1</v>
      </c>
      <c r="BV4">
        <v>4</v>
      </c>
      <c r="BW4">
        <v>3</v>
      </c>
      <c r="BX4">
        <v>1</v>
      </c>
      <c r="BY4">
        <v>1</v>
      </c>
      <c r="BZ4">
        <v>1</v>
      </c>
      <c r="CA4" s="5">
        <f>SUM(AM4:BZ4)</f>
        <v>84</v>
      </c>
      <c r="CB4" s="5">
        <f>CA4/40</f>
        <v>2.1</v>
      </c>
      <c r="CC4" s="6">
        <v>1</v>
      </c>
      <c r="CD4">
        <v>1</v>
      </c>
      <c r="CE4">
        <v>1</v>
      </c>
      <c r="CF4">
        <v>0</v>
      </c>
      <c r="CG4">
        <v>0</v>
      </c>
      <c r="CH4" s="20">
        <v>0</v>
      </c>
      <c r="CI4" s="7">
        <f>SUM(CD4:CH4)</f>
        <v>2</v>
      </c>
      <c r="CJ4">
        <v>3</v>
      </c>
      <c r="CK4">
        <v>5</v>
      </c>
      <c r="CL4">
        <v>2</v>
      </c>
      <c r="CM4">
        <v>1</v>
      </c>
      <c r="CN4">
        <v>3</v>
      </c>
      <c r="CO4">
        <v>3</v>
      </c>
      <c r="CP4">
        <v>3</v>
      </c>
      <c r="CQ4">
        <v>2</v>
      </c>
      <c r="CR4">
        <v>1</v>
      </c>
      <c r="CS4">
        <v>2</v>
      </c>
      <c r="CT4">
        <v>1</v>
      </c>
      <c r="CU4">
        <v>1</v>
      </c>
      <c r="CV4">
        <v>1</v>
      </c>
      <c r="CW4">
        <v>2</v>
      </c>
      <c r="CX4" s="13">
        <f>SUM(CJ4:CW4)</f>
        <v>30</v>
      </c>
      <c r="CY4">
        <v>2</v>
      </c>
      <c r="CZ4">
        <v>1</v>
      </c>
      <c r="DA4">
        <v>0</v>
      </c>
      <c r="DB4">
        <v>0</v>
      </c>
      <c r="DC4">
        <v>0</v>
      </c>
      <c r="DD4">
        <v>2</v>
      </c>
      <c r="DE4">
        <v>2</v>
      </c>
      <c r="DF4">
        <v>2</v>
      </c>
      <c r="DG4">
        <v>2</v>
      </c>
      <c r="DH4">
        <v>1</v>
      </c>
      <c r="DI4" s="14">
        <f>SUM(CY4:DH4)</f>
        <v>12</v>
      </c>
      <c r="DJ4">
        <v>2</v>
      </c>
      <c r="DK4">
        <v>2</v>
      </c>
      <c r="DL4">
        <v>1</v>
      </c>
      <c r="DM4">
        <v>1</v>
      </c>
      <c r="DN4">
        <v>1</v>
      </c>
      <c r="DO4">
        <v>1</v>
      </c>
      <c r="DP4" s="15">
        <f>SUM(DJ4:DO4)</f>
        <v>8</v>
      </c>
      <c r="DQ4" s="15">
        <f>DP4/6</f>
        <v>1.3333333333333333</v>
      </c>
      <c r="DR4">
        <v>1</v>
      </c>
      <c r="DS4">
        <v>1</v>
      </c>
      <c r="DT4">
        <v>1</v>
      </c>
      <c r="DU4">
        <v>1</v>
      </c>
      <c r="DV4">
        <v>1</v>
      </c>
      <c r="DW4">
        <v>2</v>
      </c>
      <c r="DX4">
        <v>1</v>
      </c>
      <c r="DY4">
        <v>2</v>
      </c>
      <c r="DZ4">
        <v>1</v>
      </c>
      <c r="EA4">
        <v>1</v>
      </c>
      <c r="EB4" s="16">
        <f>SUM(DR4:EA4)</f>
        <v>12</v>
      </c>
      <c r="ED4" t="s">
        <v>56</v>
      </c>
      <c r="EE4" t="s">
        <v>60</v>
      </c>
      <c r="EF4">
        <v>1</v>
      </c>
      <c r="EG4" t="s">
        <v>60</v>
      </c>
      <c r="EH4">
        <v>1</v>
      </c>
      <c r="EI4">
        <v>3</v>
      </c>
      <c r="EJ4">
        <v>3</v>
      </c>
      <c r="EK4">
        <v>2</v>
      </c>
      <c r="EL4">
        <v>2</v>
      </c>
      <c r="EM4">
        <v>1</v>
      </c>
      <c r="EN4">
        <v>1</v>
      </c>
      <c r="EO4">
        <v>1</v>
      </c>
      <c r="EP4">
        <v>1</v>
      </c>
      <c r="EQ4">
        <v>1</v>
      </c>
      <c r="ER4" s="1"/>
      <c r="ES4">
        <v>2</v>
      </c>
      <c r="ET4">
        <v>2</v>
      </c>
      <c r="EU4">
        <v>1</v>
      </c>
      <c r="EV4">
        <v>3</v>
      </c>
      <c r="EW4">
        <v>2</v>
      </c>
      <c r="EX4">
        <v>3</v>
      </c>
      <c r="EY4">
        <v>3</v>
      </c>
      <c r="EZ4">
        <v>3</v>
      </c>
      <c r="FA4">
        <v>2</v>
      </c>
      <c r="FB4">
        <v>3</v>
      </c>
      <c r="FC4">
        <v>2</v>
      </c>
      <c r="FD4">
        <v>4</v>
      </c>
      <c r="FE4">
        <v>4</v>
      </c>
      <c r="FF4">
        <v>4</v>
      </c>
      <c r="FG4">
        <v>2</v>
      </c>
      <c r="FH4">
        <v>0</v>
      </c>
      <c r="FI4">
        <v>2</v>
      </c>
      <c r="FJ4">
        <v>2</v>
      </c>
      <c r="FK4">
        <v>2</v>
      </c>
      <c r="FL4">
        <v>0</v>
      </c>
      <c r="FM4" s="12">
        <f>SUM(ES4:FL4)</f>
        <v>46</v>
      </c>
      <c r="FN4">
        <v>3</v>
      </c>
      <c r="FO4">
        <v>2</v>
      </c>
      <c r="FP4">
        <v>2</v>
      </c>
      <c r="FQ4">
        <v>3</v>
      </c>
      <c r="FR4">
        <v>3</v>
      </c>
      <c r="FS4">
        <v>2</v>
      </c>
      <c r="FT4">
        <v>3</v>
      </c>
      <c r="FU4">
        <v>1</v>
      </c>
      <c r="FV4">
        <v>3</v>
      </c>
      <c r="FW4">
        <v>2</v>
      </c>
      <c r="FX4">
        <v>3</v>
      </c>
      <c r="FY4">
        <v>1</v>
      </c>
      <c r="FZ4">
        <v>1</v>
      </c>
      <c r="GA4">
        <v>2</v>
      </c>
      <c r="GB4">
        <v>3</v>
      </c>
      <c r="GC4">
        <v>3</v>
      </c>
      <c r="GD4">
        <v>2</v>
      </c>
      <c r="GE4">
        <v>2</v>
      </c>
      <c r="GF4">
        <v>3</v>
      </c>
      <c r="GG4">
        <v>3</v>
      </c>
      <c r="GH4">
        <v>4</v>
      </c>
      <c r="GI4">
        <v>4</v>
      </c>
      <c r="GJ4">
        <v>4</v>
      </c>
      <c r="GK4">
        <v>3</v>
      </c>
      <c r="GL4">
        <v>2</v>
      </c>
      <c r="GM4">
        <v>3</v>
      </c>
      <c r="GN4">
        <v>1</v>
      </c>
      <c r="GO4">
        <v>2</v>
      </c>
      <c r="GP4">
        <v>2</v>
      </c>
      <c r="GQ4">
        <v>1</v>
      </c>
      <c r="GR4">
        <v>3</v>
      </c>
      <c r="GS4">
        <v>3</v>
      </c>
      <c r="GT4">
        <v>4</v>
      </c>
      <c r="GU4">
        <v>3</v>
      </c>
      <c r="GV4">
        <v>4</v>
      </c>
      <c r="GW4">
        <v>4</v>
      </c>
      <c r="GX4">
        <v>3</v>
      </c>
      <c r="GY4">
        <v>4</v>
      </c>
      <c r="GZ4">
        <v>1</v>
      </c>
      <c r="HA4">
        <v>1</v>
      </c>
      <c r="HB4" s="5">
        <f>SUM(FN4:HA4)</f>
        <v>103</v>
      </c>
      <c r="HC4" s="5">
        <f>HB4/40</f>
        <v>2.5750000000000002</v>
      </c>
      <c r="HD4" s="6">
        <v>1</v>
      </c>
      <c r="HE4">
        <v>1</v>
      </c>
      <c r="HF4">
        <v>1</v>
      </c>
      <c r="HG4">
        <v>1</v>
      </c>
      <c r="HH4">
        <v>1</v>
      </c>
      <c r="HI4">
        <v>0</v>
      </c>
      <c r="HJ4" s="7">
        <f>SUM(HE4:HI4)</f>
        <v>4</v>
      </c>
      <c r="HK4">
        <v>5</v>
      </c>
      <c r="HL4">
        <v>5</v>
      </c>
      <c r="HM4">
        <v>3</v>
      </c>
      <c r="HN4">
        <v>2</v>
      </c>
      <c r="HO4">
        <v>2</v>
      </c>
      <c r="HP4">
        <v>2</v>
      </c>
      <c r="HQ4">
        <v>2</v>
      </c>
      <c r="HR4">
        <v>2</v>
      </c>
      <c r="HS4">
        <v>2</v>
      </c>
      <c r="HT4">
        <v>2</v>
      </c>
      <c r="HU4">
        <v>2</v>
      </c>
      <c r="HV4">
        <v>1</v>
      </c>
      <c r="HW4">
        <v>1</v>
      </c>
      <c r="HX4">
        <v>1</v>
      </c>
      <c r="HY4" s="13">
        <f>SUM(HK4:HX4)</f>
        <v>32</v>
      </c>
      <c r="HZ4">
        <v>2</v>
      </c>
      <c r="IA4">
        <v>2</v>
      </c>
      <c r="IB4">
        <v>2</v>
      </c>
      <c r="IC4">
        <v>0</v>
      </c>
      <c r="ID4">
        <v>0</v>
      </c>
      <c r="IE4">
        <v>1</v>
      </c>
      <c r="IF4">
        <v>0</v>
      </c>
      <c r="IG4">
        <v>0</v>
      </c>
      <c r="IH4">
        <v>0</v>
      </c>
      <c r="II4">
        <v>1</v>
      </c>
      <c r="IJ4" s="14">
        <f>SUM(HZ4:II4)</f>
        <v>8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 s="15">
        <f>SUM(IK4:IP4)</f>
        <v>6</v>
      </c>
      <c r="IR4" s="15">
        <f>IQ4/6</f>
        <v>1</v>
      </c>
      <c r="IS4">
        <v>1</v>
      </c>
      <c r="IT4">
        <v>1</v>
      </c>
      <c r="IU4">
        <v>1</v>
      </c>
      <c r="IV4">
        <v>2</v>
      </c>
      <c r="IW4">
        <v>1</v>
      </c>
      <c r="IX4">
        <v>1</v>
      </c>
      <c r="IY4">
        <v>1</v>
      </c>
      <c r="IZ4">
        <v>1</v>
      </c>
      <c r="JA4">
        <v>2</v>
      </c>
      <c r="JB4">
        <v>1</v>
      </c>
      <c r="JC4" s="16">
        <f>SUM(IS4:JB4)</f>
        <v>12</v>
      </c>
    </row>
    <row r="5" spans="1:263" x14ac:dyDescent="0.25">
      <c r="A5" t="s">
        <v>49</v>
      </c>
      <c r="B5" s="48"/>
      <c r="C5">
        <v>2</v>
      </c>
      <c r="D5">
        <v>3</v>
      </c>
      <c r="E5">
        <v>3</v>
      </c>
      <c r="F5">
        <v>1</v>
      </c>
      <c r="G5">
        <v>4</v>
      </c>
      <c r="H5">
        <v>3</v>
      </c>
      <c r="I5">
        <v>3</v>
      </c>
      <c r="J5">
        <v>3</v>
      </c>
      <c r="K5">
        <v>5</v>
      </c>
      <c r="L5">
        <v>1</v>
      </c>
      <c r="M5">
        <v>5</v>
      </c>
      <c r="N5">
        <v>1</v>
      </c>
      <c r="O5">
        <v>1</v>
      </c>
      <c r="P5">
        <v>2</v>
      </c>
      <c r="Q5" s="1"/>
      <c r="R5" s="25">
        <v>0</v>
      </c>
      <c r="S5" s="25">
        <v>1</v>
      </c>
      <c r="T5" s="25">
        <v>0</v>
      </c>
      <c r="U5" s="25">
        <v>1</v>
      </c>
      <c r="V5" s="25">
        <v>2</v>
      </c>
      <c r="W5" s="6">
        <v>2</v>
      </c>
      <c r="X5" s="6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5">
        <v>0</v>
      </c>
      <c r="AG5" s="35">
        <v>0</v>
      </c>
      <c r="AH5" s="35">
        <v>0</v>
      </c>
      <c r="AI5" s="35">
        <v>0</v>
      </c>
      <c r="AJ5" s="35">
        <v>0</v>
      </c>
      <c r="AK5" s="35">
        <v>0</v>
      </c>
      <c r="AL5" s="12">
        <f t="shared" si="0"/>
        <v>6</v>
      </c>
      <c r="AM5">
        <v>2</v>
      </c>
      <c r="AN5">
        <v>1</v>
      </c>
      <c r="AO5">
        <v>2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3</v>
      </c>
      <c r="AY5">
        <v>2</v>
      </c>
      <c r="AZ5">
        <v>1</v>
      </c>
      <c r="BA5">
        <v>3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2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 s="5">
        <f t="shared" ref="CA5:CA12" si="1">SUM(AM5:BZ5)</f>
        <v>48</v>
      </c>
      <c r="CB5" s="5">
        <f t="shared" ref="CB5:CB12" si="2">CA5/40</f>
        <v>1.2</v>
      </c>
      <c r="CC5" s="6">
        <v>1</v>
      </c>
      <c r="CD5">
        <v>1</v>
      </c>
      <c r="CE5">
        <v>0</v>
      </c>
      <c r="CF5">
        <v>0</v>
      </c>
      <c r="CG5">
        <v>0</v>
      </c>
      <c r="CH5" s="20">
        <v>0</v>
      </c>
      <c r="CI5" s="7">
        <f t="shared" ref="CI5:CI12" si="3">SUM(CD5:CH5)</f>
        <v>1</v>
      </c>
      <c r="CJ5">
        <v>5</v>
      </c>
      <c r="CK5">
        <v>5</v>
      </c>
      <c r="CL5">
        <v>4</v>
      </c>
      <c r="CM5">
        <v>5</v>
      </c>
      <c r="CN5">
        <v>1</v>
      </c>
      <c r="CO5">
        <v>3</v>
      </c>
      <c r="CP5">
        <v>3</v>
      </c>
      <c r="CQ5">
        <v>4</v>
      </c>
      <c r="CR5">
        <v>4</v>
      </c>
      <c r="CS5">
        <v>4</v>
      </c>
      <c r="CT5">
        <v>4</v>
      </c>
      <c r="CU5">
        <v>5</v>
      </c>
      <c r="CV5">
        <v>5</v>
      </c>
      <c r="CW5">
        <v>5</v>
      </c>
      <c r="CX5" s="13">
        <f t="shared" ref="CX5:CX12" si="4">SUM(CJ5:CW5)</f>
        <v>57</v>
      </c>
      <c r="CY5">
        <v>1</v>
      </c>
      <c r="CZ5">
        <v>4</v>
      </c>
      <c r="DA5">
        <v>3</v>
      </c>
      <c r="DB5">
        <v>3</v>
      </c>
      <c r="DC5">
        <v>4</v>
      </c>
      <c r="DD5">
        <v>4</v>
      </c>
      <c r="DE5">
        <v>4</v>
      </c>
      <c r="DF5">
        <v>4</v>
      </c>
      <c r="DG5">
        <v>4</v>
      </c>
      <c r="DH5">
        <v>4</v>
      </c>
      <c r="DI5" s="14">
        <f t="shared" ref="DI5:DI12" si="5">SUM(CY5:DH5)</f>
        <v>35</v>
      </c>
      <c r="DJ5">
        <v>5</v>
      </c>
      <c r="DK5">
        <v>5</v>
      </c>
      <c r="DL5">
        <v>4</v>
      </c>
      <c r="DM5">
        <v>5</v>
      </c>
      <c r="DN5">
        <v>5</v>
      </c>
      <c r="DO5">
        <v>5</v>
      </c>
      <c r="DP5" s="15">
        <f t="shared" ref="DP5:DP12" si="6">SUM(DJ5:DO5)</f>
        <v>29</v>
      </c>
      <c r="DQ5" s="15">
        <f t="shared" ref="DQ5:DQ12" si="7">DP5/6</f>
        <v>4.833333333333333</v>
      </c>
      <c r="DR5">
        <v>4</v>
      </c>
      <c r="DS5">
        <v>2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 s="16">
        <f t="shared" ref="EB5:EB12" si="8">SUM(DR5:EA5)</f>
        <v>30</v>
      </c>
      <c r="ED5">
        <v>5</v>
      </c>
      <c r="EE5">
        <v>2</v>
      </c>
      <c r="EF5">
        <v>3</v>
      </c>
      <c r="EG5">
        <v>2</v>
      </c>
      <c r="EH5">
        <v>5</v>
      </c>
      <c r="EI5">
        <v>5</v>
      </c>
      <c r="EJ5">
        <v>3</v>
      </c>
      <c r="EK5" t="s">
        <v>56</v>
      </c>
      <c r="EL5" t="s">
        <v>61</v>
      </c>
      <c r="EM5">
        <v>1</v>
      </c>
      <c r="EN5">
        <v>5</v>
      </c>
      <c r="EO5">
        <v>1</v>
      </c>
      <c r="EP5">
        <v>1</v>
      </c>
      <c r="EQ5">
        <v>5</v>
      </c>
      <c r="ER5" s="1"/>
      <c r="ES5">
        <v>1</v>
      </c>
      <c r="ET5">
        <v>1</v>
      </c>
      <c r="EU5">
        <v>0</v>
      </c>
      <c r="EV5">
        <v>1</v>
      </c>
      <c r="EW5">
        <v>2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12">
        <f t="shared" ref="FM5:FM12" si="9">SUM(ES5:FL5)</f>
        <v>5</v>
      </c>
      <c r="FN5">
        <v>1</v>
      </c>
      <c r="FO5">
        <v>1</v>
      </c>
      <c r="FP5">
        <v>2</v>
      </c>
      <c r="FQ5">
        <v>1</v>
      </c>
      <c r="FR5">
        <v>1</v>
      </c>
      <c r="FS5">
        <v>2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3</v>
      </c>
      <c r="GC5">
        <v>1</v>
      </c>
      <c r="GD5">
        <v>1</v>
      </c>
      <c r="GE5">
        <v>1</v>
      </c>
      <c r="GF5">
        <v>1</v>
      </c>
      <c r="GG5">
        <v>2</v>
      </c>
      <c r="GH5">
        <v>2</v>
      </c>
      <c r="GI5">
        <v>2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 s="5">
        <f t="shared" ref="HB5:HB12" si="10">SUM(FN5:HA5)</f>
        <v>47</v>
      </c>
      <c r="HC5" s="5">
        <f t="shared" ref="HC5:HC12" si="11">HB5/40</f>
        <v>1.175</v>
      </c>
      <c r="HD5" s="6">
        <v>1</v>
      </c>
      <c r="HE5">
        <v>0</v>
      </c>
      <c r="HF5">
        <v>0</v>
      </c>
      <c r="HG5">
        <v>0</v>
      </c>
      <c r="HH5">
        <v>0</v>
      </c>
      <c r="HI5">
        <v>0</v>
      </c>
      <c r="HJ5" s="7">
        <f t="shared" ref="HJ5:HJ12" si="12">SUM(HE5:HI5)</f>
        <v>0</v>
      </c>
      <c r="HK5">
        <v>4</v>
      </c>
      <c r="HL5">
        <v>4</v>
      </c>
      <c r="HM5">
        <v>4</v>
      </c>
      <c r="HN5">
        <v>4</v>
      </c>
      <c r="HO5">
        <v>4</v>
      </c>
      <c r="HP5">
        <v>4</v>
      </c>
      <c r="HQ5">
        <v>4</v>
      </c>
      <c r="HR5">
        <v>4</v>
      </c>
      <c r="HS5">
        <v>4</v>
      </c>
      <c r="HT5">
        <v>4</v>
      </c>
      <c r="HU5">
        <v>4</v>
      </c>
      <c r="HV5">
        <v>4</v>
      </c>
      <c r="HW5">
        <v>4</v>
      </c>
      <c r="HX5">
        <v>4</v>
      </c>
      <c r="HY5" s="13">
        <f t="shared" ref="HY5:HY12" si="13">SUM(HK5:HX5)</f>
        <v>56</v>
      </c>
      <c r="HZ5">
        <v>2</v>
      </c>
      <c r="IA5">
        <v>3</v>
      </c>
      <c r="IB5">
        <v>3</v>
      </c>
      <c r="IC5">
        <v>3</v>
      </c>
      <c r="ID5">
        <v>2</v>
      </c>
      <c r="IE5">
        <v>3</v>
      </c>
      <c r="IF5">
        <v>3</v>
      </c>
      <c r="IG5">
        <v>3</v>
      </c>
      <c r="IH5">
        <v>2</v>
      </c>
      <c r="II5">
        <v>3</v>
      </c>
      <c r="IJ5" s="14">
        <f t="shared" ref="IJ5:IJ12" si="14">SUM(HZ5:II5)</f>
        <v>27</v>
      </c>
      <c r="IK5">
        <v>5</v>
      </c>
      <c r="IL5">
        <v>5</v>
      </c>
      <c r="IM5">
        <v>5</v>
      </c>
      <c r="IN5">
        <v>2</v>
      </c>
      <c r="IO5">
        <v>5</v>
      </c>
      <c r="IP5">
        <v>4</v>
      </c>
      <c r="IQ5" s="15">
        <f t="shared" ref="IQ5:IQ12" si="15">SUM(IK5:IP5)</f>
        <v>26</v>
      </c>
      <c r="IR5" s="15">
        <f t="shared" ref="IR5:IR12" si="16">IQ5/6</f>
        <v>4.333333333333333</v>
      </c>
      <c r="IS5">
        <v>4</v>
      </c>
      <c r="IT5">
        <v>3</v>
      </c>
      <c r="IU5">
        <v>3</v>
      </c>
      <c r="IV5">
        <v>3</v>
      </c>
      <c r="IW5">
        <v>3</v>
      </c>
      <c r="IX5">
        <v>2</v>
      </c>
      <c r="IY5">
        <v>2</v>
      </c>
      <c r="IZ5">
        <v>2</v>
      </c>
      <c r="JA5">
        <v>3</v>
      </c>
      <c r="JB5">
        <v>2</v>
      </c>
      <c r="JC5" s="16">
        <f t="shared" ref="JC5:JC12" si="17">SUM(IS5:JB5)</f>
        <v>27</v>
      </c>
    </row>
    <row r="6" spans="1:263" x14ac:dyDescent="0.25">
      <c r="A6" t="s">
        <v>50</v>
      </c>
      <c r="B6" s="48"/>
      <c r="C6">
        <v>5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>
        <v>5</v>
      </c>
      <c r="J6">
        <v>5</v>
      </c>
      <c r="K6">
        <v>5</v>
      </c>
      <c r="L6" t="s">
        <v>51</v>
      </c>
      <c r="M6">
        <v>1</v>
      </c>
      <c r="N6" t="s">
        <v>51</v>
      </c>
      <c r="O6" t="s">
        <v>51</v>
      </c>
      <c r="P6" t="s">
        <v>51</v>
      </c>
      <c r="Q6" s="1"/>
      <c r="R6" s="25">
        <v>4</v>
      </c>
      <c r="S6" s="25">
        <v>4</v>
      </c>
      <c r="T6" s="25">
        <v>2</v>
      </c>
      <c r="U6" s="25">
        <v>4</v>
      </c>
      <c r="V6" s="25">
        <v>4</v>
      </c>
      <c r="W6" s="6">
        <v>4</v>
      </c>
      <c r="X6" s="6">
        <v>4</v>
      </c>
      <c r="Y6" s="38">
        <v>4</v>
      </c>
      <c r="Z6" s="38">
        <v>4</v>
      </c>
      <c r="AA6" s="38">
        <v>4</v>
      </c>
      <c r="AB6" s="38">
        <v>4</v>
      </c>
      <c r="AC6" s="38">
        <v>4</v>
      </c>
      <c r="AD6" s="38">
        <v>4</v>
      </c>
      <c r="AE6" s="38">
        <v>4</v>
      </c>
      <c r="AF6" s="35">
        <v>2</v>
      </c>
      <c r="AG6" s="35">
        <v>1</v>
      </c>
      <c r="AH6" s="35">
        <v>4</v>
      </c>
      <c r="AI6" s="35">
        <v>4</v>
      </c>
      <c r="AJ6" s="35">
        <v>3</v>
      </c>
      <c r="AK6" s="35">
        <v>3</v>
      </c>
      <c r="AL6" s="12">
        <f t="shared" si="0"/>
        <v>71</v>
      </c>
      <c r="AM6">
        <v>3</v>
      </c>
      <c r="AN6">
        <v>2</v>
      </c>
      <c r="AO6">
        <v>4</v>
      </c>
      <c r="AP6">
        <v>4</v>
      </c>
      <c r="AQ6">
        <v>4</v>
      </c>
      <c r="AR6">
        <v>4</v>
      </c>
      <c r="AS6">
        <v>4</v>
      </c>
      <c r="AT6">
        <v>3</v>
      </c>
      <c r="AU6">
        <v>3</v>
      </c>
      <c r="AV6">
        <v>1</v>
      </c>
      <c r="AW6">
        <v>4</v>
      </c>
      <c r="AX6">
        <v>3</v>
      </c>
      <c r="AY6">
        <v>3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3</v>
      </c>
      <c r="BI6">
        <v>3</v>
      </c>
      <c r="BJ6">
        <v>4</v>
      </c>
      <c r="BK6">
        <v>1</v>
      </c>
      <c r="BL6">
        <v>4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4</v>
      </c>
      <c r="BU6">
        <v>4</v>
      </c>
      <c r="BV6">
        <v>3</v>
      </c>
      <c r="BW6">
        <v>4</v>
      </c>
      <c r="BX6">
        <v>4</v>
      </c>
      <c r="BY6">
        <v>3</v>
      </c>
      <c r="BZ6">
        <v>1</v>
      </c>
      <c r="CA6" s="5">
        <f t="shared" si="1"/>
        <v>133</v>
      </c>
      <c r="CB6" s="5">
        <f t="shared" si="2"/>
        <v>3.3250000000000002</v>
      </c>
      <c r="CC6" s="6">
        <v>1</v>
      </c>
      <c r="CD6">
        <v>1</v>
      </c>
      <c r="CE6">
        <v>1</v>
      </c>
      <c r="CF6">
        <v>1</v>
      </c>
      <c r="CG6">
        <v>1</v>
      </c>
      <c r="CH6" s="20">
        <v>1</v>
      </c>
      <c r="CI6" s="7">
        <f t="shared" si="3"/>
        <v>5</v>
      </c>
      <c r="CJ6">
        <v>2</v>
      </c>
      <c r="CK6">
        <v>3</v>
      </c>
      <c r="CL6">
        <v>1</v>
      </c>
      <c r="CM6">
        <v>2</v>
      </c>
      <c r="CN6">
        <v>5</v>
      </c>
      <c r="CO6">
        <v>4</v>
      </c>
      <c r="CP6">
        <v>2</v>
      </c>
      <c r="CQ6">
        <v>2</v>
      </c>
      <c r="CR6">
        <v>2</v>
      </c>
      <c r="CS6">
        <v>2</v>
      </c>
      <c r="CT6">
        <v>2</v>
      </c>
      <c r="CU6">
        <v>1</v>
      </c>
      <c r="CV6">
        <v>1</v>
      </c>
      <c r="CW6">
        <v>1</v>
      </c>
      <c r="CX6" s="13">
        <f t="shared" si="4"/>
        <v>30</v>
      </c>
      <c r="CY6">
        <v>0</v>
      </c>
      <c r="CZ6">
        <v>2</v>
      </c>
      <c r="DA6">
        <v>2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 s="14">
        <f t="shared" si="5"/>
        <v>4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 s="15">
        <f t="shared" si="6"/>
        <v>6</v>
      </c>
      <c r="DQ6" s="15">
        <f t="shared" si="7"/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 s="16">
        <f t="shared" si="8"/>
        <v>10</v>
      </c>
      <c r="ED6" t="s">
        <v>56</v>
      </c>
      <c r="EE6" t="s">
        <v>51</v>
      </c>
      <c r="EF6">
        <v>3</v>
      </c>
      <c r="EG6">
        <v>3</v>
      </c>
      <c r="EH6">
        <v>1</v>
      </c>
      <c r="EI6">
        <v>3</v>
      </c>
      <c r="EJ6" t="s">
        <v>56</v>
      </c>
      <c r="EK6">
        <v>3</v>
      </c>
      <c r="EL6">
        <v>3</v>
      </c>
      <c r="EM6" t="s">
        <v>51</v>
      </c>
      <c r="EN6">
        <v>1</v>
      </c>
      <c r="EO6">
        <v>1</v>
      </c>
      <c r="EP6">
        <v>1</v>
      </c>
      <c r="EQ6">
        <v>3</v>
      </c>
      <c r="ER6" s="1"/>
      <c r="ES6">
        <v>3</v>
      </c>
      <c r="ET6">
        <v>4</v>
      </c>
      <c r="EU6">
        <v>3</v>
      </c>
      <c r="EV6">
        <v>4</v>
      </c>
      <c r="EW6">
        <v>3</v>
      </c>
      <c r="EX6">
        <v>2</v>
      </c>
      <c r="EY6">
        <v>3</v>
      </c>
      <c r="EZ6">
        <v>0</v>
      </c>
      <c r="FA6">
        <v>1</v>
      </c>
      <c r="FB6">
        <v>0</v>
      </c>
      <c r="FC6">
        <v>3</v>
      </c>
      <c r="FD6">
        <v>2</v>
      </c>
      <c r="FE6">
        <v>2</v>
      </c>
      <c r="FF6">
        <v>2</v>
      </c>
      <c r="FG6">
        <v>0</v>
      </c>
      <c r="FH6">
        <v>0</v>
      </c>
      <c r="FI6">
        <v>3</v>
      </c>
      <c r="FJ6">
        <v>3</v>
      </c>
      <c r="FK6">
        <v>3</v>
      </c>
      <c r="FL6">
        <v>4</v>
      </c>
      <c r="FM6" s="12">
        <f t="shared" si="9"/>
        <v>45</v>
      </c>
      <c r="FN6">
        <v>2</v>
      </c>
      <c r="FO6">
        <v>3</v>
      </c>
      <c r="FP6">
        <v>3</v>
      </c>
      <c r="FQ6">
        <v>3</v>
      </c>
      <c r="FR6">
        <v>2</v>
      </c>
      <c r="FS6">
        <v>3</v>
      </c>
      <c r="FT6">
        <v>2</v>
      </c>
      <c r="FU6">
        <v>4</v>
      </c>
      <c r="FV6">
        <v>3</v>
      </c>
      <c r="FW6">
        <v>1</v>
      </c>
      <c r="FX6">
        <v>1</v>
      </c>
      <c r="FY6">
        <v>2</v>
      </c>
      <c r="FZ6">
        <v>3</v>
      </c>
      <c r="GA6">
        <v>3</v>
      </c>
      <c r="GB6">
        <v>2</v>
      </c>
      <c r="GC6">
        <v>3</v>
      </c>
      <c r="GD6">
        <v>3</v>
      </c>
      <c r="GE6">
        <v>1</v>
      </c>
      <c r="GF6">
        <v>3</v>
      </c>
      <c r="GG6">
        <v>1</v>
      </c>
      <c r="GH6">
        <v>1</v>
      </c>
      <c r="GI6">
        <v>3</v>
      </c>
      <c r="GJ6">
        <v>3</v>
      </c>
      <c r="GK6">
        <v>2</v>
      </c>
      <c r="GL6">
        <v>1</v>
      </c>
      <c r="GM6">
        <v>3</v>
      </c>
      <c r="GN6">
        <v>1</v>
      </c>
      <c r="GO6">
        <v>1</v>
      </c>
      <c r="GP6">
        <v>2</v>
      </c>
      <c r="GQ6">
        <v>1</v>
      </c>
      <c r="GR6">
        <v>2</v>
      </c>
      <c r="GS6">
        <v>1</v>
      </c>
      <c r="GT6">
        <v>2</v>
      </c>
      <c r="GU6">
        <v>2</v>
      </c>
      <c r="GV6">
        <v>3</v>
      </c>
      <c r="GW6">
        <v>2</v>
      </c>
      <c r="GX6">
        <v>3</v>
      </c>
      <c r="GY6">
        <v>3</v>
      </c>
      <c r="GZ6">
        <v>1</v>
      </c>
      <c r="HA6">
        <v>1</v>
      </c>
      <c r="HB6" s="5">
        <f t="shared" si="10"/>
        <v>86</v>
      </c>
      <c r="HC6" s="5">
        <f t="shared" si="11"/>
        <v>2.15</v>
      </c>
      <c r="HD6" s="6">
        <v>1</v>
      </c>
      <c r="HE6">
        <v>0</v>
      </c>
      <c r="HF6">
        <v>0</v>
      </c>
      <c r="HG6">
        <v>1</v>
      </c>
      <c r="HH6">
        <v>1</v>
      </c>
      <c r="HI6">
        <v>1</v>
      </c>
      <c r="HJ6" s="7">
        <f t="shared" si="12"/>
        <v>3</v>
      </c>
      <c r="HK6">
        <v>1</v>
      </c>
      <c r="HL6">
        <v>1</v>
      </c>
      <c r="HM6">
        <v>1</v>
      </c>
      <c r="HN6">
        <v>1</v>
      </c>
      <c r="HO6">
        <v>3</v>
      </c>
      <c r="HP6">
        <v>2</v>
      </c>
      <c r="HQ6">
        <v>2</v>
      </c>
      <c r="HR6">
        <v>1</v>
      </c>
      <c r="HS6">
        <v>2</v>
      </c>
      <c r="HT6">
        <v>3</v>
      </c>
      <c r="HU6">
        <v>1</v>
      </c>
      <c r="HV6">
        <v>2</v>
      </c>
      <c r="HW6">
        <v>1</v>
      </c>
      <c r="HX6">
        <v>2</v>
      </c>
      <c r="HY6" s="13">
        <f t="shared" si="13"/>
        <v>23</v>
      </c>
      <c r="HZ6">
        <v>0</v>
      </c>
      <c r="IA6">
        <v>2</v>
      </c>
      <c r="IB6">
        <v>2</v>
      </c>
      <c r="IC6">
        <v>0</v>
      </c>
      <c r="ID6">
        <v>0</v>
      </c>
      <c r="IE6">
        <v>2</v>
      </c>
      <c r="IF6">
        <v>0</v>
      </c>
      <c r="IG6">
        <v>3</v>
      </c>
      <c r="IH6">
        <v>0</v>
      </c>
      <c r="II6">
        <v>0</v>
      </c>
      <c r="IJ6" s="14">
        <f t="shared" si="14"/>
        <v>9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 s="15">
        <f t="shared" si="15"/>
        <v>6</v>
      </c>
      <c r="IR6" s="15">
        <f t="shared" si="16"/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3</v>
      </c>
      <c r="JA6">
        <v>1</v>
      </c>
      <c r="JB6">
        <v>1</v>
      </c>
      <c r="JC6" s="16">
        <f t="shared" si="17"/>
        <v>12</v>
      </c>
    </row>
    <row r="7" spans="1:263" x14ac:dyDescent="0.25">
      <c r="A7" t="s">
        <v>52</v>
      </c>
      <c r="B7" s="48"/>
      <c r="C7">
        <v>3</v>
      </c>
      <c r="D7">
        <v>1</v>
      </c>
      <c r="E7">
        <v>1</v>
      </c>
      <c r="F7">
        <v>1</v>
      </c>
      <c r="G7">
        <v>3</v>
      </c>
      <c r="H7">
        <v>3</v>
      </c>
      <c r="I7">
        <v>2</v>
      </c>
      <c r="J7">
        <v>4</v>
      </c>
      <c r="K7">
        <v>5</v>
      </c>
      <c r="L7">
        <v>1</v>
      </c>
      <c r="M7">
        <v>5</v>
      </c>
      <c r="N7">
        <v>1</v>
      </c>
      <c r="O7">
        <v>1</v>
      </c>
      <c r="P7">
        <v>3</v>
      </c>
      <c r="Q7" s="1"/>
      <c r="R7" s="25">
        <v>2</v>
      </c>
      <c r="S7" s="25">
        <v>2</v>
      </c>
      <c r="T7" s="25">
        <v>1</v>
      </c>
      <c r="U7" s="25">
        <v>2</v>
      </c>
      <c r="V7" s="25">
        <v>1</v>
      </c>
      <c r="W7" s="6">
        <v>2</v>
      </c>
      <c r="X7" s="6">
        <v>2</v>
      </c>
      <c r="Y7" s="38">
        <v>0</v>
      </c>
      <c r="Z7" s="38">
        <v>0</v>
      </c>
      <c r="AA7" s="38">
        <v>0</v>
      </c>
      <c r="AB7" s="38">
        <v>2</v>
      </c>
      <c r="AC7" s="38">
        <v>1</v>
      </c>
      <c r="AD7" s="38">
        <v>0</v>
      </c>
      <c r="AE7" s="38">
        <v>0</v>
      </c>
      <c r="AF7" s="35">
        <v>1</v>
      </c>
      <c r="AG7" s="35">
        <v>0</v>
      </c>
      <c r="AH7" s="35">
        <v>1</v>
      </c>
      <c r="AI7" s="35">
        <v>1</v>
      </c>
      <c r="AJ7" s="35">
        <v>1</v>
      </c>
      <c r="AK7" s="35">
        <v>1</v>
      </c>
      <c r="AL7" s="12">
        <f t="shared" si="0"/>
        <v>20</v>
      </c>
      <c r="AM7">
        <v>3</v>
      </c>
      <c r="AN7">
        <v>2</v>
      </c>
      <c r="AO7">
        <v>3</v>
      </c>
      <c r="AP7">
        <v>1</v>
      </c>
      <c r="AQ7">
        <v>2</v>
      </c>
      <c r="AR7">
        <v>2</v>
      </c>
      <c r="AS7">
        <v>2</v>
      </c>
      <c r="AT7">
        <v>3</v>
      </c>
      <c r="AU7">
        <v>4</v>
      </c>
      <c r="AV7">
        <v>1</v>
      </c>
      <c r="AW7">
        <v>1</v>
      </c>
      <c r="AX7">
        <v>3</v>
      </c>
      <c r="AY7">
        <v>1</v>
      </c>
      <c r="AZ7">
        <v>3</v>
      </c>
      <c r="BA7">
        <v>1</v>
      </c>
      <c r="BB7">
        <v>1</v>
      </c>
      <c r="BC7">
        <v>2</v>
      </c>
      <c r="BD7">
        <v>1</v>
      </c>
      <c r="BE7">
        <v>2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2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1</v>
      </c>
      <c r="BW7">
        <v>1</v>
      </c>
      <c r="BX7">
        <v>3</v>
      </c>
      <c r="BY7">
        <v>2</v>
      </c>
      <c r="BZ7">
        <v>1</v>
      </c>
      <c r="CA7" s="5">
        <f t="shared" si="1"/>
        <v>67</v>
      </c>
      <c r="CB7" s="5">
        <f t="shared" si="2"/>
        <v>1.675</v>
      </c>
      <c r="CC7" s="6">
        <v>1</v>
      </c>
      <c r="CD7">
        <v>1</v>
      </c>
      <c r="CE7">
        <v>1</v>
      </c>
      <c r="CF7">
        <v>1</v>
      </c>
      <c r="CG7">
        <v>1</v>
      </c>
      <c r="CH7" s="20">
        <v>1</v>
      </c>
      <c r="CI7" s="7">
        <f t="shared" si="3"/>
        <v>5</v>
      </c>
      <c r="CJ7">
        <v>5</v>
      </c>
      <c r="CK7">
        <v>4</v>
      </c>
      <c r="CL7">
        <v>1</v>
      </c>
      <c r="CM7">
        <v>5</v>
      </c>
      <c r="CN7">
        <v>2</v>
      </c>
      <c r="CO7">
        <v>3</v>
      </c>
      <c r="CP7">
        <v>3</v>
      </c>
      <c r="CQ7">
        <v>1</v>
      </c>
      <c r="CR7">
        <v>4</v>
      </c>
      <c r="CS7">
        <v>3</v>
      </c>
      <c r="CT7">
        <v>3</v>
      </c>
      <c r="CU7">
        <v>4</v>
      </c>
      <c r="CV7">
        <v>4</v>
      </c>
      <c r="CW7">
        <v>2</v>
      </c>
      <c r="CX7" s="13">
        <f t="shared" si="4"/>
        <v>44</v>
      </c>
      <c r="CY7">
        <v>2</v>
      </c>
      <c r="CZ7">
        <v>2</v>
      </c>
      <c r="DA7">
        <v>3</v>
      </c>
      <c r="DB7">
        <v>1</v>
      </c>
      <c r="DC7">
        <v>1</v>
      </c>
      <c r="DD7">
        <v>4</v>
      </c>
      <c r="DE7">
        <v>4</v>
      </c>
      <c r="DF7">
        <v>4</v>
      </c>
      <c r="DG7">
        <v>1</v>
      </c>
      <c r="DH7">
        <v>3</v>
      </c>
      <c r="DI7" s="14">
        <f t="shared" si="5"/>
        <v>25</v>
      </c>
      <c r="DJ7">
        <v>4</v>
      </c>
      <c r="DK7">
        <v>4</v>
      </c>
      <c r="DL7">
        <v>4</v>
      </c>
      <c r="DM7">
        <v>1</v>
      </c>
      <c r="DN7">
        <v>1</v>
      </c>
      <c r="DO7">
        <v>1</v>
      </c>
      <c r="DP7" s="15">
        <f t="shared" si="6"/>
        <v>15</v>
      </c>
      <c r="DQ7" s="15">
        <f t="shared" si="7"/>
        <v>2.5</v>
      </c>
      <c r="DR7">
        <v>3</v>
      </c>
      <c r="DS7">
        <v>1</v>
      </c>
      <c r="DT7">
        <v>2</v>
      </c>
      <c r="DU7">
        <v>2</v>
      </c>
      <c r="DV7">
        <v>1</v>
      </c>
      <c r="DW7">
        <v>2</v>
      </c>
      <c r="DX7">
        <v>1</v>
      </c>
      <c r="DY7">
        <v>2</v>
      </c>
      <c r="DZ7">
        <v>3</v>
      </c>
      <c r="EA7">
        <v>1</v>
      </c>
      <c r="EB7" s="16">
        <f t="shared" si="8"/>
        <v>18</v>
      </c>
      <c r="ED7">
        <v>3</v>
      </c>
      <c r="EE7">
        <v>3</v>
      </c>
      <c r="EF7">
        <v>3</v>
      </c>
      <c r="EG7" t="s">
        <v>60</v>
      </c>
      <c r="EH7" t="s">
        <v>62</v>
      </c>
      <c r="EI7">
        <v>3</v>
      </c>
      <c r="EJ7">
        <v>2</v>
      </c>
      <c r="EK7">
        <v>2</v>
      </c>
      <c r="EL7" t="s">
        <v>56</v>
      </c>
      <c r="EM7">
        <v>1</v>
      </c>
      <c r="EN7">
        <v>1</v>
      </c>
      <c r="EO7">
        <v>1</v>
      </c>
      <c r="EP7" t="s">
        <v>62</v>
      </c>
      <c r="EQ7">
        <v>2</v>
      </c>
      <c r="ER7" s="1"/>
      <c r="ES7">
        <v>3</v>
      </c>
      <c r="ET7">
        <v>2</v>
      </c>
      <c r="EU7">
        <v>2</v>
      </c>
      <c r="EV7">
        <v>3</v>
      </c>
      <c r="EW7">
        <v>3</v>
      </c>
      <c r="EX7">
        <v>3</v>
      </c>
      <c r="EY7">
        <v>3</v>
      </c>
      <c r="EZ7">
        <v>2</v>
      </c>
      <c r="FA7">
        <v>0</v>
      </c>
      <c r="FB7">
        <v>0</v>
      </c>
      <c r="FC7">
        <v>2</v>
      </c>
      <c r="FD7">
        <v>2</v>
      </c>
      <c r="FE7">
        <v>0</v>
      </c>
      <c r="FF7">
        <v>1</v>
      </c>
      <c r="FG7">
        <v>0</v>
      </c>
      <c r="FH7">
        <v>0</v>
      </c>
      <c r="FI7">
        <v>2</v>
      </c>
      <c r="FJ7">
        <v>2</v>
      </c>
      <c r="FK7">
        <v>1</v>
      </c>
      <c r="FL7">
        <v>2</v>
      </c>
      <c r="FM7" s="12">
        <f t="shared" si="9"/>
        <v>33</v>
      </c>
      <c r="FN7">
        <v>3</v>
      </c>
      <c r="FO7">
        <v>3</v>
      </c>
      <c r="FP7">
        <v>3</v>
      </c>
      <c r="FQ7">
        <v>1</v>
      </c>
      <c r="FR7">
        <v>1</v>
      </c>
      <c r="FS7">
        <v>2</v>
      </c>
      <c r="FT7">
        <v>2</v>
      </c>
      <c r="FU7">
        <v>2</v>
      </c>
      <c r="FV7">
        <v>2</v>
      </c>
      <c r="FW7">
        <v>2</v>
      </c>
      <c r="FX7">
        <v>3</v>
      </c>
      <c r="FY7">
        <v>1</v>
      </c>
      <c r="FZ7">
        <v>2</v>
      </c>
      <c r="GA7">
        <v>1</v>
      </c>
      <c r="GB7">
        <v>1</v>
      </c>
      <c r="GC7">
        <v>3</v>
      </c>
      <c r="GD7">
        <v>2</v>
      </c>
      <c r="GE7">
        <v>2</v>
      </c>
      <c r="GF7">
        <v>2</v>
      </c>
      <c r="GG7">
        <v>2</v>
      </c>
      <c r="GH7">
        <v>2</v>
      </c>
      <c r="GI7">
        <v>1</v>
      </c>
      <c r="GJ7">
        <v>1</v>
      </c>
      <c r="GK7">
        <v>1</v>
      </c>
      <c r="GL7">
        <v>1</v>
      </c>
      <c r="GM7">
        <v>2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3</v>
      </c>
      <c r="GU7">
        <v>3</v>
      </c>
      <c r="GV7">
        <v>3</v>
      </c>
      <c r="GW7">
        <v>1</v>
      </c>
      <c r="GX7">
        <v>2</v>
      </c>
      <c r="GY7">
        <v>3</v>
      </c>
      <c r="GZ7">
        <v>2</v>
      </c>
      <c r="HA7">
        <v>1</v>
      </c>
      <c r="HB7" s="5">
        <f t="shared" si="10"/>
        <v>72</v>
      </c>
      <c r="HC7" s="5">
        <f t="shared" si="11"/>
        <v>1.8</v>
      </c>
      <c r="HD7" s="6">
        <v>1</v>
      </c>
      <c r="HE7">
        <v>1</v>
      </c>
      <c r="HF7">
        <v>1</v>
      </c>
      <c r="HG7">
        <v>1</v>
      </c>
      <c r="HH7">
        <v>1</v>
      </c>
      <c r="HI7">
        <v>0</v>
      </c>
      <c r="HJ7" s="7">
        <f t="shared" si="12"/>
        <v>4</v>
      </c>
      <c r="HK7">
        <v>3</v>
      </c>
      <c r="HL7">
        <v>3</v>
      </c>
      <c r="HM7">
        <v>2</v>
      </c>
      <c r="HN7">
        <v>4</v>
      </c>
      <c r="HO7">
        <v>2</v>
      </c>
      <c r="HP7">
        <v>2</v>
      </c>
      <c r="HQ7">
        <v>2</v>
      </c>
      <c r="HR7">
        <v>2</v>
      </c>
      <c r="HS7">
        <v>3</v>
      </c>
      <c r="HT7">
        <v>3</v>
      </c>
      <c r="HU7">
        <v>2</v>
      </c>
      <c r="HV7">
        <v>2</v>
      </c>
      <c r="HW7">
        <v>1</v>
      </c>
      <c r="HX7">
        <v>2</v>
      </c>
      <c r="HY7" s="13">
        <f t="shared" si="13"/>
        <v>33</v>
      </c>
      <c r="HZ7">
        <v>2</v>
      </c>
      <c r="IA7">
        <v>2</v>
      </c>
      <c r="IB7">
        <v>2</v>
      </c>
      <c r="IC7">
        <v>2</v>
      </c>
      <c r="ID7">
        <v>2</v>
      </c>
      <c r="IE7">
        <v>2</v>
      </c>
      <c r="IF7">
        <v>2</v>
      </c>
      <c r="IG7">
        <v>2</v>
      </c>
      <c r="IH7">
        <v>0</v>
      </c>
      <c r="II7">
        <v>0</v>
      </c>
      <c r="IJ7" s="14">
        <f t="shared" si="14"/>
        <v>16</v>
      </c>
      <c r="IK7">
        <v>5</v>
      </c>
      <c r="IL7">
        <v>5</v>
      </c>
      <c r="IM7">
        <v>4</v>
      </c>
      <c r="IN7">
        <v>1</v>
      </c>
      <c r="IO7">
        <v>4</v>
      </c>
      <c r="IP7">
        <v>2</v>
      </c>
      <c r="IQ7" s="15">
        <f t="shared" si="15"/>
        <v>21</v>
      </c>
      <c r="IR7" s="15">
        <f t="shared" si="16"/>
        <v>3.5</v>
      </c>
      <c r="IS7">
        <v>2</v>
      </c>
      <c r="IT7">
        <v>2</v>
      </c>
      <c r="IU7">
        <v>2</v>
      </c>
      <c r="IV7">
        <v>2</v>
      </c>
      <c r="IW7">
        <v>2</v>
      </c>
      <c r="IX7">
        <v>2</v>
      </c>
      <c r="IY7">
        <v>2</v>
      </c>
      <c r="IZ7">
        <v>2</v>
      </c>
      <c r="JA7">
        <v>2</v>
      </c>
      <c r="JB7">
        <v>3</v>
      </c>
      <c r="JC7" s="16">
        <f t="shared" si="17"/>
        <v>21</v>
      </c>
    </row>
    <row r="8" spans="1:263" x14ac:dyDescent="0.25">
      <c r="A8" t="s">
        <v>53</v>
      </c>
      <c r="B8" s="48"/>
      <c r="C8">
        <v>2</v>
      </c>
      <c r="D8">
        <v>3</v>
      </c>
      <c r="E8">
        <v>3</v>
      </c>
      <c r="F8">
        <v>2</v>
      </c>
      <c r="G8">
        <v>3</v>
      </c>
      <c r="H8">
        <v>3</v>
      </c>
      <c r="I8">
        <v>2</v>
      </c>
      <c r="J8">
        <v>2</v>
      </c>
      <c r="K8">
        <v>3</v>
      </c>
      <c r="L8">
        <v>1</v>
      </c>
      <c r="M8">
        <v>1</v>
      </c>
      <c r="N8">
        <v>1</v>
      </c>
      <c r="O8">
        <v>1</v>
      </c>
      <c r="P8">
        <v>3</v>
      </c>
      <c r="Q8" s="1"/>
      <c r="R8" s="25">
        <v>0</v>
      </c>
      <c r="S8" s="25">
        <v>1</v>
      </c>
      <c r="T8" s="25">
        <v>1</v>
      </c>
      <c r="U8" s="25">
        <v>1</v>
      </c>
      <c r="V8" s="25">
        <v>0</v>
      </c>
      <c r="W8" s="6">
        <v>0</v>
      </c>
      <c r="X8" s="6">
        <v>0</v>
      </c>
      <c r="Y8" s="38">
        <v>1</v>
      </c>
      <c r="Z8" s="38">
        <v>0</v>
      </c>
      <c r="AA8" s="38">
        <v>0</v>
      </c>
      <c r="AB8" s="38">
        <v>0</v>
      </c>
      <c r="AC8" s="38">
        <v>1</v>
      </c>
      <c r="AD8" s="38">
        <v>0</v>
      </c>
      <c r="AE8" s="38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12">
        <f t="shared" si="0"/>
        <v>5</v>
      </c>
      <c r="AM8">
        <v>2</v>
      </c>
      <c r="AN8">
        <v>1</v>
      </c>
      <c r="AO8">
        <v>1</v>
      </c>
      <c r="AP8">
        <v>1</v>
      </c>
      <c r="AQ8">
        <v>1</v>
      </c>
      <c r="AR8">
        <v>2</v>
      </c>
      <c r="AS8">
        <v>1</v>
      </c>
      <c r="AT8">
        <v>1</v>
      </c>
      <c r="AU8">
        <v>1</v>
      </c>
      <c r="AV8">
        <v>2</v>
      </c>
      <c r="AW8">
        <v>2</v>
      </c>
      <c r="AX8">
        <v>1</v>
      </c>
      <c r="AY8">
        <v>1</v>
      </c>
      <c r="AZ8">
        <v>1</v>
      </c>
      <c r="BA8">
        <v>1</v>
      </c>
      <c r="BB8">
        <v>2</v>
      </c>
      <c r="BC8">
        <v>1</v>
      </c>
      <c r="BD8">
        <v>3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4</v>
      </c>
      <c r="BV8">
        <v>2</v>
      </c>
      <c r="BW8">
        <v>1</v>
      </c>
      <c r="BX8">
        <v>1</v>
      </c>
      <c r="BY8">
        <v>1</v>
      </c>
      <c r="BZ8">
        <v>1</v>
      </c>
      <c r="CA8" s="5">
        <f t="shared" si="1"/>
        <v>51</v>
      </c>
      <c r="CB8" s="5">
        <f t="shared" si="2"/>
        <v>1.2749999999999999</v>
      </c>
      <c r="CC8" s="6">
        <v>1</v>
      </c>
      <c r="CD8">
        <v>0</v>
      </c>
      <c r="CE8">
        <v>0</v>
      </c>
      <c r="CF8">
        <v>0</v>
      </c>
      <c r="CG8">
        <v>1</v>
      </c>
      <c r="CH8" s="20">
        <v>0</v>
      </c>
      <c r="CI8" s="7">
        <f t="shared" si="3"/>
        <v>1</v>
      </c>
      <c r="CJ8">
        <v>4</v>
      </c>
      <c r="CK8">
        <v>5</v>
      </c>
      <c r="CL8">
        <v>4</v>
      </c>
      <c r="CM8">
        <v>4</v>
      </c>
      <c r="CN8">
        <v>2</v>
      </c>
      <c r="CO8">
        <v>3</v>
      </c>
      <c r="CP8">
        <v>2</v>
      </c>
      <c r="CQ8">
        <v>2</v>
      </c>
      <c r="CR8">
        <v>3</v>
      </c>
      <c r="CS8">
        <v>3</v>
      </c>
      <c r="CT8">
        <v>2</v>
      </c>
      <c r="CU8">
        <v>3</v>
      </c>
      <c r="CV8">
        <v>1</v>
      </c>
      <c r="CW8">
        <v>2</v>
      </c>
      <c r="CX8" s="13">
        <f t="shared" si="4"/>
        <v>40</v>
      </c>
      <c r="CY8">
        <v>1</v>
      </c>
      <c r="CZ8">
        <v>1</v>
      </c>
      <c r="DA8">
        <v>2</v>
      </c>
      <c r="DB8">
        <v>0</v>
      </c>
      <c r="DC8">
        <v>1</v>
      </c>
      <c r="DD8">
        <v>2</v>
      </c>
      <c r="DE8">
        <v>2</v>
      </c>
      <c r="DF8">
        <v>2</v>
      </c>
      <c r="DG8">
        <v>1</v>
      </c>
      <c r="DH8">
        <v>0</v>
      </c>
      <c r="DI8" s="14">
        <f t="shared" si="5"/>
        <v>12</v>
      </c>
      <c r="DJ8">
        <v>4</v>
      </c>
      <c r="DK8">
        <v>4</v>
      </c>
      <c r="DL8">
        <v>2</v>
      </c>
      <c r="DM8">
        <v>4</v>
      </c>
      <c r="DN8">
        <v>4</v>
      </c>
      <c r="DO8">
        <v>2</v>
      </c>
      <c r="DP8" s="15">
        <f t="shared" si="6"/>
        <v>20</v>
      </c>
      <c r="DQ8" s="15">
        <f t="shared" si="7"/>
        <v>3.3333333333333335</v>
      </c>
      <c r="DR8">
        <v>2</v>
      </c>
      <c r="DS8">
        <v>2</v>
      </c>
      <c r="DT8">
        <v>3</v>
      </c>
      <c r="DU8">
        <v>1</v>
      </c>
      <c r="DV8">
        <v>3</v>
      </c>
      <c r="DW8">
        <v>2</v>
      </c>
      <c r="DX8">
        <v>1</v>
      </c>
      <c r="DY8">
        <v>3</v>
      </c>
      <c r="DZ8">
        <v>3</v>
      </c>
      <c r="EA8">
        <v>2</v>
      </c>
      <c r="EB8" s="16">
        <f t="shared" si="8"/>
        <v>22</v>
      </c>
      <c r="ED8" t="s">
        <v>56</v>
      </c>
      <c r="EE8" t="s">
        <v>56</v>
      </c>
      <c r="EF8">
        <v>1</v>
      </c>
      <c r="EG8">
        <v>1</v>
      </c>
      <c r="EH8">
        <v>1</v>
      </c>
      <c r="EI8">
        <v>5</v>
      </c>
      <c r="EJ8">
        <v>5</v>
      </c>
      <c r="EK8">
        <v>2</v>
      </c>
      <c r="EL8">
        <v>3</v>
      </c>
      <c r="EM8">
        <v>1</v>
      </c>
      <c r="EN8">
        <v>1</v>
      </c>
      <c r="EO8">
        <v>1</v>
      </c>
      <c r="EP8">
        <v>1</v>
      </c>
      <c r="EQ8">
        <v>3</v>
      </c>
      <c r="ER8" s="1"/>
      <c r="ES8">
        <v>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2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 s="12">
        <f t="shared" si="9"/>
        <v>3</v>
      </c>
      <c r="FN8">
        <v>2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2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3</v>
      </c>
      <c r="GU8">
        <v>2</v>
      </c>
      <c r="GV8">
        <v>2</v>
      </c>
      <c r="GW8">
        <v>1</v>
      </c>
      <c r="GX8">
        <v>1</v>
      </c>
      <c r="GY8">
        <v>2</v>
      </c>
      <c r="GZ8">
        <v>1</v>
      </c>
      <c r="HA8">
        <v>1</v>
      </c>
      <c r="HB8" s="5">
        <f t="shared" si="10"/>
        <v>47</v>
      </c>
      <c r="HC8" s="5">
        <f t="shared" si="11"/>
        <v>1.175</v>
      </c>
      <c r="HD8" s="6">
        <v>1</v>
      </c>
      <c r="HE8">
        <v>0</v>
      </c>
      <c r="HF8">
        <v>0</v>
      </c>
      <c r="HG8">
        <v>0</v>
      </c>
      <c r="HH8">
        <v>0</v>
      </c>
      <c r="HI8">
        <v>0</v>
      </c>
      <c r="HJ8" s="7">
        <f t="shared" si="12"/>
        <v>0</v>
      </c>
      <c r="HK8">
        <v>2</v>
      </c>
      <c r="HL8">
        <v>2</v>
      </c>
      <c r="HM8">
        <v>3</v>
      </c>
      <c r="HN8">
        <v>4</v>
      </c>
      <c r="HO8">
        <v>2</v>
      </c>
      <c r="HP8">
        <v>3</v>
      </c>
      <c r="HQ8">
        <v>3</v>
      </c>
      <c r="HR8">
        <v>3</v>
      </c>
      <c r="HS8">
        <v>3</v>
      </c>
      <c r="HT8">
        <v>3</v>
      </c>
      <c r="HU8">
        <v>2</v>
      </c>
      <c r="HV8">
        <v>3</v>
      </c>
      <c r="HW8">
        <v>2</v>
      </c>
      <c r="HX8">
        <v>3</v>
      </c>
      <c r="HY8" s="13">
        <f t="shared" si="13"/>
        <v>38</v>
      </c>
      <c r="HZ8">
        <v>2</v>
      </c>
      <c r="IA8">
        <v>2</v>
      </c>
      <c r="IB8">
        <v>2</v>
      </c>
      <c r="IC8">
        <v>2</v>
      </c>
      <c r="ID8">
        <v>2</v>
      </c>
      <c r="IE8">
        <v>1</v>
      </c>
      <c r="IF8">
        <v>1</v>
      </c>
      <c r="IG8">
        <v>1</v>
      </c>
      <c r="IH8">
        <v>2</v>
      </c>
      <c r="II8">
        <v>2</v>
      </c>
      <c r="IJ8" s="14">
        <f t="shared" si="14"/>
        <v>17</v>
      </c>
      <c r="IK8">
        <v>4</v>
      </c>
      <c r="IL8">
        <v>2</v>
      </c>
      <c r="IM8">
        <v>4</v>
      </c>
      <c r="IN8">
        <v>4</v>
      </c>
      <c r="IO8">
        <v>2</v>
      </c>
      <c r="IP8">
        <v>2</v>
      </c>
      <c r="IQ8" s="15">
        <f t="shared" si="15"/>
        <v>18</v>
      </c>
      <c r="IR8" s="15">
        <f t="shared" si="16"/>
        <v>3</v>
      </c>
      <c r="IS8">
        <v>2</v>
      </c>
      <c r="IT8">
        <v>2</v>
      </c>
      <c r="IU8">
        <v>3</v>
      </c>
      <c r="IV8">
        <v>3</v>
      </c>
      <c r="IW8">
        <v>2</v>
      </c>
      <c r="IX8">
        <v>2</v>
      </c>
      <c r="IY8">
        <v>2</v>
      </c>
      <c r="IZ8">
        <v>2</v>
      </c>
      <c r="JA8">
        <v>2</v>
      </c>
      <c r="JB8">
        <v>2</v>
      </c>
      <c r="JC8" s="16">
        <f t="shared" si="17"/>
        <v>22</v>
      </c>
    </row>
    <row r="9" spans="1:263" x14ac:dyDescent="0.25">
      <c r="A9" t="s">
        <v>54</v>
      </c>
      <c r="B9" s="48"/>
      <c r="C9">
        <v>5</v>
      </c>
      <c r="D9">
        <v>3</v>
      </c>
      <c r="E9">
        <v>3</v>
      </c>
      <c r="F9">
        <v>2</v>
      </c>
      <c r="G9">
        <v>5</v>
      </c>
      <c r="H9">
        <v>5</v>
      </c>
      <c r="I9">
        <v>2</v>
      </c>
      <c r="J9">
        <v>1</v>
      </c>
      <c r="K9">
        <v>3</v>
      </c>
      <c r="L9">
        <v>2</v>
      </c>
      <c r="M9">
        <v>2</v>
      </c>
      <c r="N9">
        <v>1</v>
      </c>
      <c r="O9">
        <v>1</v>
      </c>
      <c r="P9">
        <v>3</v>
      </c>
      <c r="Q9" s="1"/>
      <c r="R9" s="25">
        <v>1</v>
      </c>
      <c r="S9" s="25">
        <v>3</v>
      </c>
      <c r="T9" s="25">
        <v>3</v>
      </c>
      <c r="U9" s="25">
        <v>3</v>
      </c>
      <c r="V9" s="25">
        <v>2</v>
      </c>
      <c r="W9" s="6">
        <v>2</v>
      </c>
      <c r="X9" s="6">
        <v>2</v>
      </c>
      <c r="Y9" s="38">
        <v>0</v>
      </c>
      <c r="Z9" s="38">
        <v>0</v>
      </c>
      <c r="AA9" s="38">
        <v>0</v>
      </c>
      <c r="AB9" s="38">
        <v>0</v>
      </c>
      <c r="AC9" s="38">
        <v>2</v>
      </c>
      <c r="AD9" s="38">
        <v>2</v>
      </c>
      <c r="AE9" s="38">
        <v>1</v>
      </c>
      <c r="AF9" s="35">
        <v>0</v>
      </c>
      <c r="AG9" s="35">
        <v>0</v>
      </c>
      <c r="AH9" s="35">
        <v>3</v>
      </c>
      <c r="AI9" s="35">
        <v>3</v>
      </c>
      <c r="AJ9" s="35">
        <v>2</v>
      </c>
      <c r="AK9" s="35">
        <v>4</v>
      </c>
      <c r="AL9" s="12">
        <f t="shared" si="0"/>
        <v>33</v>
      </c>
      <c r="AM9">
        <v>4</v>
      </c>
      <c r="AN9">
        <v>2</v>
      </c>
      <c r="AO9">
        <v>3</v>
      </c>
      <c r="AP9">
        <v>2</v>
      </c>
      <c r="AQ9">
        <v>3</v>
      </c>
      <c r="AR9">
        <v>3</v>
      </c>
      <c r="AS9">
        <v>3</v>
      </c>
      <c r="AT9">
        <v>4</v>
      </c>
      <c r="AU9">
        <v>4</v>
      </c>
      <c r="AV9">
        <v>1</v>
      </c>
      <c r="AW9">
        <v>2</v>
      </c>
      <c r="AX9">
        <v>3</v>
      </c>
      <c r="AY9">
        <v>3</v>
      </c>
      <c r="AZ9">
        <v>2</v>
      </c>
      <c r="BA9">
        <v>2</v>
      </c>
      <c r="BB9">
        <v>3</v>
      </c>
      <c r="BC9">
        <v>2</v>
      </c>
      <c r="BD9">
        <v>2</v>
      </c>
      <c r="BE9">
        <v>2</v>
      </c>
      <c r="BF9">
        <v>2</v>
      </c>
      <c r="BG9">
        <v>2</v>
      </c>
      <c r="BH9">
        <v>1</v>
      </c>
      <c r="BI9">
        <v>1</v>
      </c>
      <c r="BJ9">
        <v>2</v>
      </c>
      <c r="BK9">
        <v>2</v>
      </c>
      <c r="BL9">
        <v>2</v>
      </c>
      <c r="BM9">
        <v>1</v>
      </c>
      <c r="BN9">
        <v>1</v>
      </c>
      <c r="BO9">
        <v>2</v>
      </c>
      <c r="BP9">
        <v>2</v>
      </c>
      <c r="BQ9">
        <v>4</v>
      </c>
      <c r="BR9">
        <v>2</v>
      </c>
      <c r="BS9">
        <v>1</v>
      </c>
      <c r="BT9">
        <v>2</v>
      </c>
      <c r="BU9">
        <v>2</v>
      </c>
      <c r="BV9">
        <v>2</v>
      </c>
      <c r="BW9">
        <v>1</v>
      </c>
      <c r="BX9">
        <v>2</v>
      </c>
      <c r="BY9">
        <v>2</v>
      </c>
      <c r="BZ9">
        <v>1</v>
      </c>
      <c r="CA9" s="5">
        <f t="shared" si="1"/>
        <v>87</v>
      </c>
      <c r="CB9" s="5">
        <f t="shared" si="2"/>
        <v>2.1749999999999998</v>
      </c>
      <c r="CC9" s="6">
        <v>1</v>
      </c>
      <c r="CD9">
        <v>1</v>
      </c>
      <c r="CE9">
        <v>1</v>
      </c>
      <c r="CF9">
        <v>1</v>
      </c>
      <c r="CG9">
        <v>1</v>
      </c>
      <c r="CH9" s="20">
        <v>0</v>
      </c>
      <c r="CI9" s="7">
        <f t="shared" si="3"/>
        <v>4</v>
      </c>
      <c r="CJ9">
        <v>2</v>
      </c>
      <c r="CK9">
        <v>3</v>
      </c>
      <c r="CL9">
        <v>3</v>
      </c>
      <c r="CM9">
        <v>2</v>
      </c>
      <c r="CN9">
        <v>3</v>
      </c>
      <c r="CO9">
        <v>5</v>
      </c>
      <c r="CP9">
        <v>4</v>
      </c>
      <c r="CQ9">
        <v>3</v>
      </c>
      <c r="CR9">
        <v>3</v>
      </c>
      <c r="CS9">
        <v>2</v>
      </c>
      <c r="CT9">
        <v>3</v>
      </c>
      <c r="CU9">
        <v>5</v>
      </c>
      <c r="CV9">
        <v>2</v>
      </c>
      <c r="CW9">
        <v>3</v>
      </c>
      <c r="CX9" s="13">
        <f t="shared" si="4"/>
        <v>43</v>
      </c>
      <c r="CY9">
        <v>2</v>
      </c>
      <c r="CZ9">
        <v>2</v>
      </c>
      <c r="DA9">
        <v>4</v>
      </c>
      <c r="DB9">
        <v>1</v>
      </c>
      <c r="DC9">
        <v>2</v>
      </c>
      <c r="DD9">
        <v>1</v>
      </c>
      <c r="DE9">
        <v>2</v>
      </c>
      <c r="DF9">
        <v>2</v>
      </c>
      <c r="DG9">
        <v>1</v>
      </c>
      <c r="DH9">
        <v>2</v>
      </c>
      <c r="DI9" s="14">
        <f t="shared" si="5"/>
        <v>19</v>
      </c>
      <c r="DJ9">
        <v>4</v>
      </c>
      <c r="DK9">
        <v>2</v>
      </c>
      <c r="DL9">
        <v>2</v>
      </c>
      <c r="DM9">
        <v>4</v>
      </c>
      <c r="DN9">
        <v>2</v>
      </c>
      <c r="DO9">
        <v>4</v>
      </c>
      <c r="DP9" s="15">
        <f t="shared" si="6"/>
        <v>18</v>
      </c>
      <c r="DQ9" s="15">
        <f t="shared" si="7"/>
        <v>3</v>
      </c>
      <c r="DR9">
        <v>3</v>
      </c>
      <c r="DS9">
        <v>1</v>
      </c>
      <c r="DT9">
        <v>1</v>
      </c>
      <c r="DU9">
        <v>3</v>
      </c>
      <c r="DV9">
        <v>1</v>
      </c>
      <c r="DW9">
        <v>3</v>
      </c>
      <c r="DX9">
        <v>2</v>
      </c>
      <c r="DY9">
        <v>2</v>
      </c>
      <c r="DZ9">
        <v>3</v>
      </c>
      <c r="EA9">
        <v>3</v>
      </c>
      <c r="EB9" s="16">
        <f t="shared" si="8"/>
        <v>22</v>
      </c>
      <c r="ED9">
        <v>5</v>
      </c>
      <c r="EE9" t="s">
        <v>56</v>
      </c>
      <c r="EF9" t="s">
        <v>56</v>
      </c>
      <c r="EG9" t="s">
        <v>56</v>
      </c>
      <c r="EH9" t="s">
        <v>56</v>
      </c>
      <c r="EI9" t="s">
        <v>56</v>
      </c>
      <c r="EJ9">
        <v>3</v>
      </c>
      <c r="EK9" t="s">
        <v>62</v>
      </c>
      <c r="EL9">
        <v>1</v>
      </c>
      <c r="EM9">
        <v>1</v>
      </c>
      <c r="EN9">
        <v>1</v>
      </c>
      <c r="EO9">
        <v>1</v>
      </c>
      <c r="EP9">
        <v>1</v>
      </c>
      <c r="EQ9">
        <v>2</v>
      </c>
      <c r="ER9" s="1"/>
      <c r="ES9">
        <v>1</v>
      </c>
      <c r="ET9">
        <v>3</v>
      </c>
      <c r="EU9">
        <v>3</v>
      </c>
      <c r="EV9">
        <v>1</v>
      </c>
      <c r="EW9">
        <v>0</v>
      </c>
      <c r="EX9">
        <v>3</v>
      </c>
      <c r="EY9">
        <v>3</v>
      </c>
      <c r="EZ9">
        <v>2</v>
      </c>
      <c r="FA9">
        <v>1</v>
      </c>
      <c r="FB9">
        <v>1</v>
      </c>
      <c r="FC9">
        <v>3</v>
      </c>
      <c r="FD9">
        <v>3</v>
      </c>
      <c r="FE9">
        <v>3</v>
      </c>
      <c r="FF9">
        <v>1</v>
      </c>
      <c r="FG9">
        <v>0</v>
      </c>
      <c r="FH9">
        <v>1</v>
      </c>
      <c r="FI9">
        <v>1</v>
      </c>
      <c r="FJ9">
        <v>2</v>
      </c>
      <c r="FK9">
        <v>3</v>
      </c>
      <c r="FL9">
        <v>4</v>
      </c>
      <c r="FM9" s="12">
        <f t="shared" si="9"/>
        <v>39</v>
      </c>
      <c r="FN9">
        <v>3</v>
      </c>
      <c r="FO9">
        <v>2</v>
      </c>
      <c r="FP9">
        <v>2</v>
      </c>
      <c r="FQ9">
        <v>2</v>
      </c>
      <c r="FR9">
        <v>3</v>
      </c>
      <c r="FS9">
        <v>3</v>
      </c>
      <c r="FT9">
        <v>2</v>
      </c>
      <c r="FU9">
        <v>4</v>
      </c>
      <c r="FV9">
        <v>4</v>
      </c>
      <c r="FW9">
        <v>2</v>
      </c>
      <c r="FX9">
        <v>3</v>
      </c>
      <c r="FY9">
        <v>1</v>
      </c>
      <c r="FZ9">
        <v>2</v>
      </c>
      <c r="GA9">
        <v>2</v>
      </c>
      <c r="GB9">
        <v>2</v>
      </c>
      <c r="GC9">
        <v>2</v>
      </c>
      <c r="GD9">
        <v>3</v>
      </c>
      <c r="GE9">
        <v>2</v>
      </c>
      <c r="GF9">
        <v>3</v>
      </c>
      <c r="GG9">
        <v>2</v>
      </c>
      <c r="GH9">
        <v>2</v>
      </c>
      <c r="GI9">
        <v>1</v>
      </c>
      <c r="GJ9">
        <v>1</v>
      </c>
      <c r="GK9">
        <v>3</v>
      </c>
      <c r="GL9">
        <v>3</v>
      </c>
      <c r="GM9">
        <v>3</v>
      </c>
      <c r="GN9">
        <v>1</v>
      </c>
      <c r="GO9">
        <v>1</v>
      </c>
      <c r="GP9">
        <v>2</v>
      </c>
      <c r="GQ9">
        <v>2</v>
      </c>
      <c r="GR9">
        <v>3</v>
      </c>
      <c r="GS9">
        <v>2</v>
      </c>
      <c r="GT9">
        <v>2</v>
      </c>
      <c r="GU9">
        <v>2</v>
      </c>
      <c r="GV9">
        <v>2</v>
      </c>
      <c r="GW9">
        <v>2</v>
      </c>
      <c r="GX9">
        <v>2</v>
      </c>
      <c r="GY9">
        <v>3</v>
      </c>
      <c r="GZ9">
        <v>2</v>
      </c>
      <c r="HA9">
        <v>1</v>
      </c>
      <c r="HB9" s="5">
        <f t="shared" si="10"/>
        <v>89</v>
      </c>
      <c r="HC9" s="5">
        <f t="shared" si="11"/>
        <v>2.2250000000000001</v>
      </c>
      <c r="HD9" s="6">
        <v>1</v>
      </c>
      <c r="HE9">
        <v>1</v>
      </c>
      <c r="HF9">
        <v>1</v>
      </c>
      <c r="HG9">
        <v>1</v>
      </c>
      <c r="HH9">
        <v>1</v>
      </c>
      <c r="HI9">
        <v>0</v>
      </c>
      <c r="HJ9" s="7">
        <f t="shared" si="12"/>
        <v>4</v>
      </c>
      <c r="HK9">
        <v>4</v>
      </c>
      <c r="HL9">
        <v>3</v>
      </c>
      <c r="HM9">
        <v>4</v>
      </c>
      <c r="HN9">
        <v>4</v>
      </c>
      <c r="HO9">
        <v>4</v>
      </c>
      <c r="HP9">
        <v>3</v>
      </c>
      <c r="HQ9">
        <v>3</v>
      </c>
      <c r="HR9">
        <v>2</v>
      </c>
      <c r="HS9">
        <v>4</v>
      </c>
      <c r="HT9">
        <v>4</v>
      </c>
      <c r="HU9">
        <v>3</v>
      </c>
      <c r="HV9">
        <v>3</v>
      </c>
      <c r="HW9">
        <v>2</v>
      </c>
      <c r="HX9">
        <v>2</v>
      </c>
      <c r="HY9" s="13">
        <f t="shared" si="13"/>
        <v>45</v>
      </c>
      <c r="HZ9">
        <v>1</v>
      </c>
      <c r="IA9">
        <v>2</v>
      </c>
      <c r="IB9">
        <v>2</v>
      </c>
      <c r="IC9">
        <v>2</v>
      </c>
      <c r="ID9">
        <v>2</v>
      </c>
      <c r="IE9">
        <v>2</v>
      </c>
      <c r="IF9">
        <v>2</v>
      </c>
      <c r="IG9">
        <v>2</v>
      </c>
      <c r="IH9">
        <v>1</v>
      </c>
      <c r="II9">
        <v>2</v>
      </c>
      <c r="IJ9" s="14">
        <f t="shared" si="14"/>
        <v>18</v>
      </c>
      <c r="IK9">
        <v>4</v>
      </c>
      <c r="IL9">
        <v>2</v>
      </c>
      <c r="IM9">
        <v>4</v>
      </c>
      <c r="IN9">
        <v>2</v>
      </c>
      <c r="IO9">
        <v>4</v>
      </c>
      <c r="IP9">
        <v>2</v>
      </c>
      <c r="IQ9" s="15">
        <f t="shared" si="15"/>
        <v>18</v>
      </c>
      <c r="IR9" s="15">
        <f t="shared" si="16"/>
        <v>3</v>
      </c>
      <c r="IS9">
        <v>2</v>
      </c>
      <c r="IT9">
        <v>2</v>
      </c>
      <c r="IU9">
        <v>3</v>
      </c>
      <c r="IV9">
        <v>2</v>
      </c>
      <c r="IW9">
        <v>3</v>
      </c>
      <c r="IX9">
        <v>2</v>
      </c>
      <c r="IY9">
        <v>2</v>
      </c>
      <c r="IZ9">
        <v>3</v>
      </c>
      <c r="JA9">
        <v>3</v>
      </c>
      <c r="JB9">
        <v>2</v>
      </c>
      <c r="JC9" s="16">
        <f t="shared" si="17"/>
        <v>24</v>
      </c>
    </row>
    <row r="10" spans="1:263" x14ac:dyDescent="0.25">
      <c r="A10" t="s">
        <v>55</v>
      </c>
      <c r="B10" s="48"/>
      <c r="C10" t="s">
        <v>56</v>
      </c>
      <c r="D10">
        <v>1</v>
      </c>
      <c r="E10">
        <v>1</v>
      </c>
      <c r="F10">
        <v>1</v>
      </c>
      <c r="G10">
        <v>1</v>
      </c>
      <c r="H10">
        <v>3</v>
      </c>
      <c r="I10">
        <v>5</v>
      </c>
      <c r="J10">
        <v>2</v>
      </c>
      <c r="K10">
        <v>5</v>
      </c>
      <c r="L10">
        <v>1</v>
      </c>
      <c r="M10">
        <v>1</v>
      </c>
      <c r="N10">
        <v>1</v>
      </c>
      <c r="O10">
        <v>1</v>
      </c>
      <c r="P10">
        <v>1</v>
      </c>
      <c r="Q10" s="1"/>
      <c r="R10" s="25">
        <v>4</v>
      </c>
      <c r="S10" s="25">
        <v>0</v>
      </c>
      <c r="T10" s="25">
        <v>0</v>
      </c>
      <c r="U10" s="25">
        <v>3</v>
      </c>
      <c r="V10" s="25">
        <v>4</v>
      </c>
      <c r="W10" s="6">
        <v>3</v>
      </c>
      <c r="X10" s="6">
        <v>3</v>
      </c>
      <c r="Y10" s="38">
        <v>0</v>
      </c>
      <c r="Z10" s="38">
        <v>4</v>
      </c>
      <c r="AA10" s="38">
        <v>4</v>
      </c>
      <c r="AB10" s="38">
        <v>4</v>
      </c>
      <c r="AC10" s="38">
        <v>4</v>
      </c>
      <c r="AD10" s="38">
        <v>4</v>
      </c>
      <c r="AE10" s="38">
        <v>4</v>
      </c>
      <c r="AF10" s="35">
        <v>1</v>
      </c>
      <c r="AG10" s="35">
        <v>3</v>
      </c>
      <c r="AH10" s="35">
        <v>4</v>
      </c>
      <c r="AI10" s="35">
        <v>4</v>
      </c>
      <c r="AJ10" s="35">
        <v>4</v>
      </c>
      <c r="AK10" s="35">
        <v>4</v>
      </c>
      <c r="AL10" s="12">
        <f t="shared" si="0"/>
        <v>61</v>
      </c>
      <c r="AM10">
        <v>1</v>
      </c>
      <c r="AN10">
        <v>2</v>
      </c>
      <c r="AO10">
        <v>3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3</v>
      </c>
      <c r="AW10">
        <v>3</v>
      </c>
      <c r="AX10">
        <v>1</v>
      </c>
      <c r="AY10">
        <v>3</v>
      </c>
      <c r="AZ10">
        <v>4</v>
      </c>
      <c r="BA10">
        <v>3</v>
      </c>
      <c r="BB10">
        <v>4</v>
      </c>
      <c r="BC10">
        <v>4</v>
      </c>
      <c r="BD10">
        <v>3</v>
      </c>
      <c r="BE10">
        <v>3</v>
      </c>
      <c r="BF10">
        <v>4</v>
      </c>
      <c r="BG10">
        <v>4</v>
      </c>
      <c r="BH10">
        <v>3</v>
      </c>
      <c r="BI10">
        <v>1</v>
      </c>
      <c r="BJ10">
        <v>4</v>
      </c>
      <c r="BK10">
        <v>3</v>
      </c>
      <c r="BL10">
        <v>2</v>
      </c>
      <c r="BM10">
        <v>4</v>
      </c>
      <c r="BN10">
        <v>2</v>
      </c>
      <c r="BO10">
        <v>1</v>
      </c>
      <c r="BP10">
        <v>1</v>
      </c>
      <c r="BQ10">
        <v>1</v>
      </c>
      <c r="BR10">
        <v>3</v>
      </c>
      <c r="BS10">
        <v>4</v>
      </c>
      <c r="BT10">
        <v>4</v>
      </c>
      <c r="BU10">
        <v>3</v>
      </c>
      <c r="BV10">
        <v>4</v>
      </c>
      <c r="BW10">
        <v>1</v>
      </c>
      <c r="BX10">
        <v>1</v>
      </c>
      <c r="BY10">
        <v>1</v>
      </c>
      <c r="BZ10">
        <v>1</v>
      </c>
      <c r="CA10" s="5">
        <f t="shared" si="1"/>
        <v>113</v>
      </c>
      <c r="CB10" s="5">
        <f t="shared" si="2"/>
        <v>2.8250000000000002</v>
      </c>
      <c r="CC10" s="6">
        <v>1</v>
      </c>
      <c r="CD10">
        <v>0</v>
      </c>
      <c r="CE10">
        <v>1</v>
      </c>
      <c r="CF10">
        <v>1</v>
      </c>
      <c r="CG10">
        <v>1</v>
      </c>
      <c r="CH10" s="20">
        <v>1</v>
      </c>
      <c r="CI10" s="7">
        <f t="shared" si="3"/>
        <v>4</v>
      </c>
      <c r="CJ10">
        <v>3</v>
      </c>
      <c r="CK10">
        <v>1</v>
      </c>
      <c r="CL10">
        <v>2</v>
      </c>
      <c r="CM10">
        <v>1</v>
      </c>
      <c r="CN10">
        <v>2</v>
      </c>
      <c r="CO10">
        <v>2</v>
      </c>
      <c r="CP10">
        <v>2</v>
      </c>
      <c r="CQ10">
        <v>3</v>
      </c>
      <c r="CR10">
        <v>1</v>
      </c>
      <c r="CS10">
        <v>4</v>
      </c>
      <c r="CT10">
        <v>1</v>
      </c>
      <c r="CU10">
        <v>1</v>
      </c>
      <c r="CV10">
        <v>3</v>
      </c>
      <c r="CW10">
        <v>4</v>
      </c>
      <c r="CX10" s="13">
        <f>SUM(CJ10:CW10)</f>
        <v>30</v>
      </c>
      <c r="CY10">
        <v>2</v>
      </c>
      <c r="CZ10">
        <v>4</v>
      </c>
      <c r="DA10">
        <v>0</v>
      </c>
      <c r="DB10">
        <v>3</v>
      </c>
      <c r="DC10">
        <v>1</v>
      </c>
      <c r="DD10">
        <v>3</v>
      </c>
      <c r="DE10">
        <v>2</v>
      </c>
      <c r="DF10">
        <v>2</v>
      </c>
      <c r="DG10">
        <v>1</v>
      </c>
      <c r="DH10">
        <v>4</v>
      </c>
      <c r="DI10" s="14">
        <f t="shared" si="5"/>
        <v>22</v>
      </c>
      <c r="DJ10">
        <v>4</v>
      </c>
      <c r="DK10">
        <v>1</v>
      </c>
      <c r="DL10">
        <v>5</v>
      </c>
      <c r="DM10">
        <v>2</v>
      </c>
      <c r="DN10">
        <v>1</v>
      </c>
      <c r="DO10">
        <v>1</v>
      </c>
      <c r="DP10" s="15">
        <f t="shared" si="6"/>
        <v>14</v>
      </c>
      <c r="DQ10" s="15">
        <f t="shared" si="7"/>
        <v>2.3333333333333335</v>
      </c>
      <c r="DR10">
        <v>3</v>
      </c>
      <c r="DS10">
        <v>1</v>
      </c>
      <c r="DT10">
        <v>4</v>
      </c>
      <c r="DU10">
        <v>4</v>
      </c>
      <c r="DV10">
        <v>1</v>
      </c>
      <c r="DW10">
        <v>3</v>
      </c>
      <c r="DX10">
        <v>1</v>
      </c>
      <c r="DY10">
        <v>3</v>
      </c>
      <c r="DZ10">
        <v>4</v>
      </c>
      <c r="EA10">
        <v>1</v>
      </c>
      <c r="EB10" s="16">
        <f t="shared" si="8"/>
        <v>25</v>
      </c>
      <c r="ED10">
        <v>5</v>
      </c>
      <c r="EE10">
        <v>3</v>
      </c>
      <c r="EF10">
        <v>3</v>
      </c>
      <c r="EG10">
        <v>3</v>
      </c>
      <c r="EH10">
        <v>3</v>
      </c>
      <c r="EI10">
        <v>1</v>
      </c>
      <c r="EJ10">
        <v>5</v>
      </c>
      <c r="EK10">
        <v>2</v>
      </c>
      <c r="EL10">
        <v>2</v>
      </c>
      <c r="EM10">
        <v>1</v>
      </c>
      <c r="EN10">
        <v>1</v>
      </c>
      <c r="EO10">
        <v>1</v>
      </c>
      <c r="EP10">
        <v>1</v>
      </c>
      <c r="EQ10">
        <v>2</v>
      </c>
      <c r="ER10" s="1"/>
      <c r="ES10">
        <v>4</v>
      </c>
      <c r="ET10">
        <v>3</v>
      </c>
      <c r="EU10">
        <v>3</v>
      </c>
      <c r="EV10">
        <v>3</v>
      </c>
      <c r="EW10">
        <v>4</v>
      </c>
      <c r="EX10">
        <v>1</v>
      </c>
      <c r="EY10">
        <v>3</v>
      </c>
      <c r="EZ10">
        <v>0</v>
      </c>
      <c r="FA10">
        <v>3</v>
      </c>
      <c r="FB10">
        <v>2</v>
      </c>
      <c r="FC10">
        <v>3</v>
      </c>
      <c r="FD10">
        <v>2</v>
      </c>
      <c r="FE10">
        <v>3</v>
      </c>
      <c r="FF10">
        <v>3</v>
      </c>
      <c r="FG10">
        <v>3</v>
      </c>
      <c r="FH10">
        <v>0</v>
      </c>
      <c r="FI10">
        <v>3</v>
      </c>
      <c r="FJ10">
        <v>3</v>
      </c>
      <c r="FK10">
        <v>3</v>
      </c>
      <c r="FL10">
        <v>4</v>
      </c>
      <c r="FM10" s="12">
        <f t="shared" si="9"/>
        <v>53</v>
      </c>
      <c r="FN10">
        <v>3</v>
      </c>
      <c r="FO10">
        <v>3</v>
      </c>
      <c r="FP10">
        <v>3</v>
      </c>
      <c r="FQ10">
        <v>3</v>
      </c>
      <c r="FR10">
        <v>4</v>
      </c>
      <c r="FS10">
        <v>3</v>
      </c>
      <c r="FT10">
        <v>3</v>
      </c>
      <c r="FU10">
        <v>4</v>
      </c>
      <c r="FV10">
        <v>4</v>
      </c>
      <c r="FW10">
        <v>1</v>
      </c>
      <c r="FX10">
        <v>4</v>
      </c>
      <c r="FY10">
        <v>1</v>
      </c>
      <c r="FZ10">
        <v>3</v>
      </c>
      <c r="GA10">
        <v>3</v>
      </c>
      <c r="GB10">
        <v>2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2</v>
      </c>
      <c r="GJ10">
        <v>2</v>
      </c>
      <c r="GK10">
        <v>3</v>
      </c>
      <c r="GL10">
        <v>3</v>
      </c>
      <c r="GM10">
        <v>2</v>
      </c>
      <c r="GN10">
        <v>2</v>
      </c>
      <c r="GO10">
        <v>2</v>
      </c>
      <c r="GP10">
        <v>3</v>
      </c>
      <c r="GQ10">
        <v>1</v>
      </c>
      <c r="GR10">
        <v>2</v>
      </c>
      <c r="GS10">
        <v>3</v>
      </c>
      <c r="GT10">
        <v>4</v>
      </c>
      <c r="GU10">
        <v>3</v>
      </c>
      <c r="GV10">
        <v>2</v>
      </c>
      <c r="GW10">
        <v>3</v>
      </c>
      <c r="GX10">
        <v>2</v>
      </c>
      <c r="GY10">
        <v>3</v>
      </c>
      <c r="GZ10">
        <v>3</v>
      </c>
      <c r="HA10">
        <v>1</v>
      </c>
      <c r="HB10" s="5">
        <f t="shared" si="10"/>
        <v>108</v>
      </c>
      <c r="HC10" s="5">
        <f t="shared" si="11"/>
        <v>2.7</v>
      </c>
      <c r="HD10" s="6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 s="7">
        <f t="shared" si="12"/>
        <v>5</v>
      </c>
      <c r="HK10">
        <v>2</v>
      </c>
      <c r="HL10">
        <v>2</v>
      </c>
      <c r="HM10">
        <v>1</v>
      </c>
      <c r="HN10">
        <v>1</v>
      </c>
      <c r="HO10">
        <v>5</v>
      </c>
      <c r="HP10">
        <v>2</v>
      </c>
      <c r="HQ10">
        <v>3</v>
      </c>
      <c r="HR10">
        <v>1</v>
      </c>
      <c r="HS10">
        <v>1</v>
      </c>
      <c r="HT10">
        <v>2</v>
      </c>
      <c r="HU10">
        <v>1</v>
      </c>
      <c r="HV10">
        <v>1</v>
      </c>
      <c r="HW10">
        <v>1</v>
      </c>
      <c r="HX10">
        <v>2</v>
      </c>
      <c r="HY10" s="13">
        <f>SUM(HK10:HX10)</f>
        <v>25</v>
      </c>
      <c r="HZ10">
        <v>2</v>
      </c>
      <c r="IA10">
        <v>2</v>
      </c>
      <c r="IB10">
        <v>2</v>
      </c>
      <c r="IC10">
        <v>2</v>
      </c>
      <c r="ID10">
        <v>2</v>
      </c>
      <c r="IE10">
        <v>2</v>
      </c>
      <c r="IF10">
        <v>2</v>
      </c>
      <c r="IG10">
        <v>2</v>
      </c>
      <c r="IH10">
        <v>1</v>
      </c>
      <c r="II10">
        <v>2</v>
      </c>
      <c r="IJ10" s="14">
        <f t="shared" si="14"/>
        <v>19</v>
      </c>
      <c r="IK10">
        <v>4</v>
      </c>
      <c r="IL10">
        <v>2</v>
      </c>
      <c r="IM10">
        <v>2</v>
      </c>
      <c r="IN10">
        <v>1</v>
      </c>
      <c r="IO10">
        <v>1</v>
      </c>
      <c r="IP10">
        <v>1</v>
      </c>
      <c r="IQ10" s="15">
        <f t="shared" si="15"/>
        <v>11</v>
      </c>
      <c r="IR10" s="15">
        <f t="shared" si="16"/>
        <v>1.8333333333333333</v>
      </c>
      <c r="IS10">
        <v>1</v>
      </c>
      <c r="IT10">
        <v>2</v>
      </c>
      <c r="IU10">
        <v>2</v>
      </c>
      <c r="IV10">
        <v>2</v>
      </c>
      <c r="IW10">
        <v>1</v>
      </c>
      <c r="IX10">
        <v>2</v>
      </c>
      <c r="IY10">
        <v>2</v>
      </c>
      <c r="IZ10">
        <v>2</v>
      </c>
      <c r="JA10">
        <v>2</v>
      </c>
      <c r="JB10">
        <v>2</v>
      </c>
      <c r="JC10" s="16">
        <f t="shared" si="17"/>
        <v>18</v>
      </c>
    </row>
    <row r="11" spans="1:263" x14ac:dyDescent="0.25">
      <c r="A11" t="s">
        <v>57</v>
      </c>
      <c r="B11" s="48"/>
      <c r="C11">
        <v>3</v>
      </c>
      <c r="D11">
        <v>3</v>
      </c>
      <c r="E11">
        <v>3</v>
      </c>
      <c r="F11">
        <v>3</v>
      </c>
      <c r="G11">
        <v>5</v>
      </c>
      <c r="H11">
        <v>2</v>
      </c>
      <c r="I11">
        <v>5</v>
      </c>
      <c r="J11">
        <v>5</v>
      </c>
      <c r="K11">
        <v>5</v>
      </c>
      <c r="L11">
        <v>1</v>
      </c>
      <c r="M11">
        <v>1</v>
      </c>
      <c r="N11">
        <v>5</v>
      </c>
      <c r="O11">
        <v>1</v>
      </c>
      <c r="P11">
        <v>3</v>
      </c>
      <c r="Q11" s="1"/>
      <c r="R11" s="25">
        <v>3</v>
      </c>
      <c r="S11" s="25">
        <v>3</v>
      </c>
      <c r="T11" s="25">
        <v>3</v>
      </c>
      <c r="U11" s="25">
        <v>3</v>
      </c>
      <c r="V11" s="25">
        <v>2</v>
      </c>
      <c r="W11" s="6">
        <v>3</v>
      </c>
      <c r="X11" s="6">
        <v>3</v>
      </c>
      <c r="Y11" s="38">
        <v>1</v>
      </c>
      <c r="Z11" s="38">
        <v>2</v>
      </c>
      <c r="AA11" s="38">
        <v>1</v>
      </c>
      <c r="AB11" s="38">
        <v>2</v>
      </c>
      <c r="AC11" s="38">
        <v>3</v>
      </c>
      <c r="AD11" s="38">
        <v>2</v>
      </c>
      <c r="AE11" s="38">
        <v>2</v>
      </c>
      <c r="AF11" s="35">
        <v>1</v>
      </c>
      <c r="AG11" s="35">
        <v>0</v>
      </c>
      <c r="AH11" s="35">
        <v>1</v>
      </c>
      <c r="AI11" s="35">
        <v>2</v>
      </c>
      <c r="AJ11" s="35">
        <v>3</v>
      </c>
      <c r="AK11" s="35">
        <v>3</v>
      </c>
      <c r="AL11" s="12">
        <f t="shared" si="0"/>
        <v>43</v>
      </c>
      <c r="AM11">
        <v>3</v>
      </c>
      <c r="AN11">
        <v>2</v>
      </c>
      <c r="AO11">
        <v>3</v>
      </c>
      <c r="AP11">
        <v>3</v>
      </c>
      <c r="AQ11">
        <v>1</v>
      </c>
      <c r="AR11">
        <v>3</v>
      </c>
      <c r="AS11">
        <v>3</v>
      </c>
      <c r="AT11">
        <v>3</v>
      </c>
      <c r="AU11">
        <v>3</v>
      </c>
      <c r="AV11">
        <v>2</v>
      </c>
      <c r="AW11">
        <v>3</v>
      </c>
      <c r="AX11">
        <v>2</v>
      </c>
      <c r="AY11">
        <v>3</v>
      </c>
      <c r="AZ11">
        <v>3</v>
      </c>
      <c r="BA11">
        <v>1</v>
      </c>
      <c r="BB11">
        <v>3</v>
      </c>
      <c r="BC11">
        <v>3</v>
      </c>
      <c r="BD11">
        <v>3</v>
      </c>
      <c r="BE11">
        <v>3</v>
      </c>
      <c r="BF11">
        <v>3</v>
      </c>
      <c r="BG11">
        <v>3</v>
      </c>
      <c r="BH11">
        <v>3</v>
      </c>
      <c r="BI11">
        <v>1</v>
      </c>
      <c r="BJ11">
        <v>3</v>
      </c>
      <c r="BK11">
        <v>1</v>
      </c>
      <c r="BL11">
        <v>3</v>
      </c>
      <c r="BM11">
        <v>1</v>
      </c>
      <c r="BN11">
        <v>1</v>
      </c>
      <c r="BO11">
        <v>4</v>
      </c>
      <c r="BP11">
        <v>3</v>
      </c>
      <c r="BQ11">
        <v>2</v>
      </c>
      <c r="BR11">
        <v>1</v>
      </c>
      <c r="BS11">
        <v>2</v>
      </c>
      <c r="BT11">
        <v>2</v>
      </c>
      <c r="BU11">
        <v>3</v>
      </c>
      <c r="BV11">
        <v>2</v>
      </c>
      <c r="BW11">
        <v>3</v>
      </c>
      <c r="BX11">
        <v>3</v>
      </c>
      <c r="BY11">
        <v>1</v>
      </c>
      <c r="BZ11">
        <v>2</v>
      </c>
      <c r="CA11" s="5">
        <f t="shared" si="1"/>
        <v>97</v>
      </c>
      <c r="CB11" s="5">
        <f t="shared" si="2"/>
        <v>2.4249999999999998</v>
      </c>
      <c r="CC11" s="6">
        <v>1</v>
      </c>
      <c r="CD11">
        <v>1</v>
      </c>
      <c r="CE11">
        <v>1</v>
      </c>
      <c r="CF11">
        <v>1</v>
      </c>
      <c r="CG11">
        <v>1</v>
      </c>
      <c r="CH11" s="20">
        <v>0</v>
      </c>
      <c r="CI11" s="7">
        <f t="shared" si="3"/>
        <v>4</v>
      </c>
      <c r="CJ11">
        <v>2</v>
      </c>
      <c r="CK11">
        <v>2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3</v>
      </c>
      <c r="CS11">
        <v>3</v>
      </c>
      <c r="CT11">
        <v>2</v>
      </c>
      <c r="CU11">
        <v>3</v>
      </c>
      <c r="CV11">
        <v>2</v>
      </c>
      <c r="CW11">
        <v>2</v>
      </c>
      <c r="CX11" s="13">
        <f t="shared" si="4"/>
        <v>30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 s="14">
        <f t="shared" si="5"/>
        <v>10</v>
      </c>
      <c r="DJ11">
        <v>1</v>
      </c>
      <c r="DK11">
        <v>2</v>
      </c>
      <c r="DL11">
        <v>1</v>
      </c>
      <c r="DM11">
        <v>2</v>
      </c>
      <c r="DN11">
        <v>1</v>
      </c>
      <c r="DO11">
        <v>2</v>
      </c>
      <c r="DP11" s="15">
        <f t="shared" si="6"/>
        <v>9</v>
      </c>
      <c r="DQ11" s="15">
        <f t="shared" si="7"/>
        <v>1.5</v>
      </c>
      <c r="DR11">
        <v>2</v>
      </c>
      <c r="DS11">
        <v>2</v>
      </c>
      <c r="DT11">
        <v>2</v>
      </c>
      <c r="DU11">
        <v>2</v>
      </c>
      <c r="DV11">
        <v>2</v>
      </c>
      <c r="DW11">
        <v>2</v>
      </c>
      <c r="DX11">
        <v>2</v>
      </c>
      <c r="DY11">
        <v>2</v>
      </c>
      <c r="DZ11">
        <v>2</v>
      </c>
      <c r="EA11">
        <v>2</v>
      </c>
      <c r="EB11" s="16">
        <f t="shared" si="8"/>
        <v>20</v>
      </c>
      <c r="ED11">
        <v>3</v>
      </c>
      <c r="EE11">
        <v>3</v>
      </c>
      <c r="EF11">
        <v>3</v>
      </c>
      <c r="EG11">
        <v>3</v>
      </c>
      <c r="EH11">
        <v>1</v>
      </c>
      <c r="EI11">
        <v>3</v>
      </c>
      <c r="EJ11">
        <v>3</v>
      </c>
      <c r="EK11">
        <v>3</v>
      </c>
      <c r="EL11">
        <v>2</v>
      </c>
      <c r="EM11">
        <v>1</v>
      </c>
      <c r="EN11">
        <v>3</v>
      </c>
      <c r="EO11">
        <v>6</v>
      </c>
      <c r="EP11">
        <v>3</v>
      </c>
      <c r="EQ11">
        <v>3</v>
      </c>
      <c r="ER11" s="1"/>
      <c r="ES11">
        <v>3</v>
      </c>
      <c r="ET11">
        <v>2</v>
      </c>
      <c r="EU11">
        <v>2</v>
      </c>
      <c r="EV11">
        <v>2</v>
      </c>
      <c r="EW11">
        <v>2</v>
      </c>
      <c r="EX11">
        <v>2</v>
      </c>
      <c r="EY11">
        <v>2</v>
      </c>
      <c r="EZ11">
        <v>2</v>
      </c>
      <c r="FA11">
        <v>1</v>
      </c>
      <c r="FB11">
        <v>0</v>
      </c>
      <c r="FC11">
        <v>2</v>
      </c>
      <c r="FD11">
        <v>2</v>
      </c>
      <c r="FE11">
        <v>1</v>
      </c>
      <c r="FF11">
        <v>1</v>
      </c>
      <c r="FG11">
        <v>1</v>
      </c>
      <c r="FH11">
        <v>0</v>
      </c>
      <c r="FI11">
        <v>1</v>
      </c>
      <c r="FJ11">
        <v>2</v>
      </c>
      <c r="FK11">
        <v>2</v>
      </c>
      <c r="FL11">
        <v>2</v>
      </c>
      <c r="FM11" s="12">
        <f t="shared" si="9"/>
        <v>32</v>
      </c>
      <c r="FN11">
        <v>2</v>
      </c>
      <c r="FO11">
        <v>2</v>
      </c>
      <c r="FP11">
        <v>3</v>
      </c>
      <c r="FQ11">
        <v>2</v>
      </c>
      <c r="FR11">
        <v>1</v>
      </c>
      <c r="FS11">
        <v>3</v>
      </c>
      <c r="FT11">
        <v>2</v>
      </c>
      <c r="FU11">
        <v>2</v>
      </c>
      <c r="FV11">
        <v>2</v>
      </c>
      <c r="FW11">
        <v>2</v>
      </c>
      <c r="FX11">
        <v>2</v>
      </c>
      <c r="FY11">
        <v>2</v>
      </c>
      <c r="FZ11">
        <v>2</v>
      </c>
      <c r="GA11">
        <v>3</v>
      </c>
      <c r="GB11">
        <v>2</v>
      </c>
      <c r="GC11">
        <v>2</v>
      </c>
      <c r="GD11">
        <v>2</v>
      </c>
      <c r="GE11">
        <v>3</v>
      </c>
      <c r="GF11">
        <v>3</v>
      </c>
      <c r="GG11">
        <v>3</v>
      </c>
      <c r="GH11">
        <v>2</v>
      </c>
      <c r="GI11">
        <v>2</v>
      </c>
      <c r="GJ11">
        <v>1</v>
      </c>
      <c r="GK11">
        <v>2</v>
      </c>
      <c r="GL11">
        <v>1</v>
      </c>
      <c r="GM11">
        <v>2</v>
      </c>
      <c r="GN11">
        <v>1</v>
      </c>
      <c r="GO11">
        <v>1</v>
      </c>
      <c r="GP11">
        <v>2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2</v>
      </c>
      <c r="GW11">
        <v>1</v>
      </c>
      <c r="GX11">
        <v>2</v>
      </c>
      <c r="GY11">
        <v>2</v>
      </c>
      <c r="GZ11">
        <v>1</v>
      </c>
      <c r="HA11">
        <v>1</v>
      </c>
      <c r="HB11" s="5">
        <f t="shared" si="10"/>
        <v>73</v>
      </c>
      <c r="HC11" s="5">
        <f t="shared" si="11"/>
        <v>1.825</v>
      </c>
      <c r="HD11" s="6">
        <v>1</v>
      </c>
      <c r="HE11">
        <v>1</v>
      </c>
      <c r="HF11">
        <v>1</v>
      </c>
      <c r="HG11">
        <v>0</v>
      </c>
      <c r="HH11">
        <v>0</v>
      </c>
      <c r="HI11">
        <v>0</v>
      </c>
      <c r="HJ11" s="7">
        <f t="shared" si="12"/>
        <v>2</v>
      </c>
      <c r="HK11">
        <v>2</v>
      </c>
      <c r="HL11">
        <v>2</v>
      </c>
      <c r="HM11">
        <v>2</v>
      </c>
      <c r="HN11">
        <v>3</v>
      </c>
      <c r="HO11">
        <v>2</v>
      </c>
      <c r="HP11">
        <v>2</v>
      </c>
      <c r="HQ11">
        <v>3</v>
      </c>
      <c r="HR11">
        <v>2</v>
      </c>
      <c r="HS11">
        <v>4</v>
      </c>
      <c r="HT11">
        <v>2</v>
      </c>
      <c r="HU11">
        <v>2</v>
      </c>
      <c r="HV11">
        <v>3</v>
      </c>
      <c r="HW11">
        <v>2</v>
      </c>
      <c r="HX11">
        <v>3</v>
      </c>
      <c r="HY11" s="13">
        <f t="shared" si="13"/>
        <v>34</v>
      </c>
      <c r="HZ11">
        <v>2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2</v>
      </c>
      <c r="IG11">
        <v>2</v>
      </c>
      <c r="IH11">
        <v>1</v>
      </c>
      <c r="II11">
        <v>1</v>
      </c>
      <c r="IJ11" s="14">
        <f t="shared" si="14"/>
        <v>13</v>
      </c>
      <c r="IK11">
        <v>2</v>
      </c>
      <c r="IL11">
        <v>2</v>
      </c>
      <c r="IM11">
        <v>2</v>
      </c>
      <c r="IN11">
        <v>2</v>
      </c>
      <c r="IO11">
        <v>2</v>
      </c>
      <c r="IP11">
        <v>2</v>
      </c>
      <c r="IQ11" s="15">
        <f t="shared" si="15"/>
        <v>12</v>
      </c>
      <c r="IR11" s="15">
        <f t="shared" si="16"/>
        <v>2</v>
      </c>
      <c r="IS11">
        <v>2</v>
      </c>
      <c r="IT11">
        <v>2</v>
      </c>
      <c r="IU11">
        <v>2</v>
      </c>
      <c r="IV11">
        <v>2</v>
      </c>
      <c r="IW11">
        <v>2</v>
      </c>
      <c r="IX11">
        <v>2</v>
      </c>
      <c r="IY11">
        <v>1</v>
      </c>
      <c r="IZ11">
        <v>1</v>
      </c>
      <c r="JA11">
        <v>2</v>
      </c>
      <c r="JB11">
        <v>1</v>
      </c>
      <c r="JC11" s="16">
        <f t="shared" si="17"/>
        <v>17</v>
      </c>
    </row>
    <row r="12" spans="1:263" x14ac:dyDescent="0.25">
      <c r="A12" t="s">
        <v>58</v>
      </c>
      <c r="B12" s="48"/>
      <c r="C12">
        <v>2</v>
      </c>
      <c r="D12">
        <v>2</v>
      </c>
      <c r="E12">
        <v>2</v>
      </c>
      <c r="F12">
        <v>2</v>
      </c>
      <c r="G12">
        <v>2</v>
      </c>
      <c r="H12">
        <v>3</v>
      </c>
      <c r="I12">
        <v>3</v>
      </c>
      <c r="J12">
        <v>3</v>
      </c>
      <c r="K12">
        <v>5</v>
      </c>
      <c r="L12">
        <v>3</v>
      </c>
      <c r="M12">
        <v>3</v>
      </c>
      <c r="N12">
        <v>6</v>
      </c>
      <c r="O12">
        <v>1</v>
      </c>
      <c r="P12">
        <v>2</v>
      </c>
      <c r="Q12" s="1"/>
      <c r="R12" s="25">
        <v>2</v>
      </c>
      <c r="S12" s="25">
        <v>1</v>
      </c>
      <c r="T12" s="25">
        <v>0</v>
      </c>
      <c r="U12" s="25">
        <v>1</v>
      </c>
      <c r="V12" s="25">
        <v>1</v>
      </c>
      <c r="W12" s="6">
        <v>0</v>
      </c>
      <c r="X12" s="6">
        <v>0</v>
      </c>
      <c r="Y12" s="38">
        <v>0</v>
      </c>
      <c r="Z12" s="38">
        <v>0</v>
      </c>
      <c r="AA12" s="38">
        <v>1</v>
      </c>
      <c r="AB12" s="38">
        <v>3</v>
      </c>
      <c r="AC12" s="38">
        <v>1</v>
      </c>
      <c r="AD12" s="38">
        <v>0</v>
      </c>
      <c r="AE12" s="38">
        <v>0</v>
      </c>
      <c r="AF12" s="35">
        <v>3</v>
      </c>
      <c r="AG12" s="35">
        <v>0</v>
      </c>
      <c r="AH12" s="35">
        <v>0</v>
      </c>
      <c r="AI12" s="35">
        <v>1</v>
      </c>
      <c r="AJ12" s="35">
        <v>2</v>
      </c>
      <c r="AK12" s="35">
        <v>3</v>
      </c>
      <c r="AL12" s="12">
        <f t="shared" si="0"/>
        <v>19</v>
      </c>
      <c r="AM12">
        <v>2</v>
      </c>
      <c r="AN12">
        <v>1</v>
      </c>
      <c r="AO12">
        <v>2</v>
      </c>
      <c r="AP12">
        <v>1</v>
      </c>
      <c r="AQ12">
        <v>1</v>
      </c>
      <c r="AR12">
        <v>3</v>
      </c>
      <c r="AS12">
        <v>2</v>
      </c>
      <c r="AT12">
        <v>3</v>
      </c>
      <c r="AU12">
        <v>1</v>
      </c>
      <c r="AV12">
        <v>3</v>
      </c>
      <c r="AW12">
        <v>1</v>
      </c>
      <c r="AX12">
        <v>1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2</v>
      </c>
      <c r="BG12">
        <v>1</v>
      </c>
      <c r="BH12">
        <v>3</v>
      </c>
      <c r="BI12">
        <v>3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2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2</v>
      </c>
      <c r="BV12">
        <v>1</v>
      </c>
      <c r="BW12">
        <v>1</v>
      </c>
      <c r="BX12">
        <v>2</v>
      </c>
      <c r="BY12">
        <v>1</v>
      </c>
      <c r="BZ12">
        <v>2</v>
      </c>
      <c r="CA12" s="5">
        <f t="shared" si="1"/>
        <v>65</v>
      </c>
      <c r="CB12" s="5">
        <f t="shared" si="2"/>
        <v>1.625</v>
      </c>
      <c r="CC12" s="6">
        <v>1</v>
      </c>
      <c r="CD12">
        <v>1</v>
      </c>
      <c r="CE12">
        <v>0</v>
      </c>
      <c r="CF12">
        <v>0</v>
      </c>
      <c r="CG12">
        <v>0</v>
      </c>
      <c r="CH12" s="20">
        <v>0</v>
      </c>
      <c r="CI12" s="7">
        <f t="shared" si="3"/>
        <v>1</v>
      </c>
      <c r="CJ12">
        <v>3</v>
      </c>
      <c r="CK12">
        <v>4</v>
      </c>
      <c r="CL12">
        <v>3</v>
      </c>
      <c r="CM12">
        <v>4</v>
      </c>
      <c r="CN12">
        <v>3</v>
      </c>
      <c r="CO12">
        <v>3</v>
      </c>
      <c r="CP12">
        <v>3</v>
      </c>
      <c r="CQ12">
        <v>3</v>
      </c>
      <c r="CR12">
        <v>4</v>
      </c>
      <c r="CS12">
        <v>3</v>
      </c>
      <c r="CT12">
        <v>3</v>
      </c>
      <c r="CU12">
        <v>4</v>
      </c>
      <c r="CV12">
        <v>3</v>
      </c>
      <c r="CW12">
        <v>3</v>
      </c>
      <c r="CX12" s="13">
        <f t="shared" si="4"/>
        <v>46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1</v>
      </c>
      <c r="DE12">
        <v>2</v>
      </c>
      <c r="DF12">
        <v>2</v>
      </c>
      <c r="DG12">
        <v>2</v>
      </c>
      <c r="DH12">
        <v>2</v>
      </c>
      <c r="DI12" s="14">
        <f t="shared" si="5"/>
        <v>19</v>
      </c>
      <c r="DJ12">
        <v>4</v>
      </c>
      <c r="DK12">
        <v>4</v>
      </c>
      <c r="DL12">
        <v>4</v>
      </c>
      <c r="DM12">
        <v>4</v>
      </c>
      <c r="DN12">
        <v>4</v>
      </c>
      <c r="DO12">
        <v>4</v>
      </c>
      <c r="DP12" s="15">
        <f t="shared" si="6"/>
        <v>24</v>
      </c>
      <c r="DQ12" s="15">
        <f t="shared" si="7"/>
        <v>4</v>
      </c>
      <c r="DR12">
        <v>3</v>
      </c>
      <c r="DS12">
        <v>3</v>
      </c>
      <c r="DT12">
        <v>3</v>
      </c>
      <c r="DU12">
        <v>3</v>
      </c>
      <c r="DV12">
        <v>2</v>
      </c>
      <c r="DW12">
        <v>2</v>
      </c>
      <c r="DX12">
        <v>2</v>
      </c>
      <c r="DY12">
        <v>2</v>
      </c>
      <c r="DZ12">
        <v>2</v>
      </c>
      <c r="EA12">
        <v>2</v>
      </c>
      <c r="EB12" s="16">
        <f t="shared" si="8"/>
        <v>24</v>
      </c>
      <c r="ED12">
        <v>3</v>
      </c>
      <c r="EE12">
        <v>3</v>
      </c>
      <c r="EF12">
        <v>3</v>
      </c>
      <c r="EG12">
        <v>3</v>
      </c>
      <c r="EH12">
        <v>3</v>
      </c>
      <c r="EI12">
        <v>2</v>
      </c>
      <c r="EJ12">
        <v>2</v>
      </c>
      <c r="EK12">
        <v>2</v>
      </c>
      <c r="EL12">
        <v>5</v>
      </c>
      <c r="EM12">
        <v>1</v>
      </c>
      <c r="EN12">
        <v>3</v>
      </c>
      <c r="EO12">
        <v>6</v>
      </c>
      <c r="EP12">
        <v>1</v>
      </c>
      <c r="EQ12">
        <v>3</v>
      </c>
      <c r="ER12" s="1"/>
      <c r="ES12">
        <v>1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 s="12">
        <f t="shared" si="9"/>
        <v>2</v>
      </c>
      <c r="FN12">
        <v>2</v>
      </c>
      <c r="FO12">
        <v>1</v>
      </c>
      <c r="FP12">
        <v>1</v>
      </c>
      <c r="FQ12">
        <v>1</v>
      </c>
      <c r="FR12">
        <v>1</v>
      </c>
      <c r="FS12">
        <v>2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2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 s="5">
        <f t="shared" si="10"/>
        <v>43</v>
      </c>
      <c r="HC12" s="5">
        <f t="shared" si="11"/>
        <v>1.075</v>
      </c>
      <c r="HD12" s="6">
        <v>1</v>
      </c>
      <c r="HE12">
        <v>0</v>
      </c>
      <c r="HF12">
        <v>0</v>
      </c>
      <c r="HG12">
        <v>0</v>
      </c>
      <c r="HH12">
        <v>0</v>
      </c>
      <c r="HI12">
        <v>0</v>
      </c>
      <c r="HJ12" s="7">
        <f t="shared" si="12"/>
        <v>0</v>
      </c>
      <c r="HK12">
        <v>3</v>
      </c>
      <c r="HL12">
        <v>4</v>
      </c>
      <c r="HM12">
        <v>3</v>
      </c>
      <c r="HN12">
        <v>4</v>
      </c>
      <c r="HO12">
        <v>3</v>
      </c>
      <c r="HP12">
        <v>4</v>
      </c>
      <c r="HQ12">
        <v>3</v>
      </c>
      <c r="HR12">
        <v>3</v>
      </c>
      <c r="HS12">
        <v>4</v>
      </c>
      <c r="HT12">
        <v>3</v>
      </c>
      <c r="HU12">
        <v>3</v>
      </c>
      <c r="HV12">
        <v>4</v>
      </c>
      <c r="HW12">
        <v>3</v>
      </c>
      <c r="HX12">
        <v>3</v>
      </c>
      <c r="HY12" s="13">
        <f t="shared" si="13"/>
        <v>47</v>
      </c>
      <c r="HZ12">
        <v>2</v>
      </c>
      <c r="IA12">
        <v>2</v>
      </c>
      <c r="IB12">
        <v>2</v>
      </c>
      <c r="IC12">
        <v>2</v>
      </c>
      <c r="ID12">
        <v>2</v>
      </c>
      <c r="IE12">
        <v>2</v>
      </c>
      <c r="IF12">
        <v>2</v>
      </c>
      <c r="IG12">
        <v>2</v>
      </c>
      <c r="IH12">
        <v>2</v>
      </c>
      <c r="II12">
        <v>2</v>
      </c>
      <c r="IJ12" s="14">
        <f t="shared" si="14"/>
        <v>20</v>
      </c>
      <c r="IK12">
        <v>4</v>
      </c>
      <c r="IL12">
        <v>4</v>
      </c>
      <c r="IM12">
        <v>4</v>
      </c>
      <c r="IN12">
        <v>4</v>
      </c>
      <c r="IO12">
        <v>4</v>
      </c>
      <c r="IP12">
        <v>4</v>
      </c>
      <c r="IQ12" s="15">
        <f t="shared" si="15"/>
        <v>24</v>
      </c>
      <c r="IR12" s="15">
        <f t="shared" si="16"/>
        <v>4</v>
      </c>
      <c r="IS12">
        <v>3</v>
      </c>
      <c r="IT12">
        <v>3</v>
      </c>
      <c r="IU12">
        <v>3</v>
      </c>
      <c r="IV12">
        <v>3</v>
      </c>
      <c r="IW12">
        <v>3</v>
      </c>
      <c r="IX12">
        <v>3</v>
      </c>
      <c r="IY12">
        <v>3</v>
      </c>
      <c r="IZ12">
        <v>3</v>
      </c>
      <c r="JA12">
        <v>3</v>
      </c>
      <c r="JB12">
        <v>3</v>
      </c>
      <c r="JC12" s="16">
        <f t="shared" si="17"/>
        <v>30</v>
      </c>
    </row>
    <row r="13" spans="1:263" s="17" customFormat="1" x14ac:dyDescent="0.25">
      <c r="Q13" s="18"/>
      <c r="AK13" s="23" t="s">
        <v>91</v>
      </c>
      <c r="AL13" s="18">
        <f>MIN(AL4:AL12)</f>
        <v>5</v>
      </c>
      <c r="BZ13" s="23" t="s">
        <v>91</v>
      </c>
      <c r="CA13" s="18">
        <f>MIN(CA4:CA12)</f>
        <v>48</v>
      </c>
      <c r="CB13" s="18">
        <f>MIN(CB4:CB12)</f>
        <v>1.2</v>
      </c>
      <c r="CH13" s="23" t="s">
        <v>91</v>
      </c>
      <c r="CI13" s="18">
        <f>MIN(CI4:CI12)</f>
        <v>1</v>
      </c>
      <c r="CW13" s="23" t="s">
        <v>91</v>
      </c>
      <c r="CX13" s="18">
        <f>MIN(CX4:CX12)</f>
        <v>30</v>
      </c>
      <c r="DH13" s="23" t="s">
        <v>91</v>
      </c>
      <c r="DI13" s="18">
        <f>MIN(DI4:DI12)</f>
        <v>4</v>
      </c>
      <c r="DO13" s="23" t="s">
        <v>91</v>
      </c>
      <c r="DP13" s="18">
        <f>MIN(DP4:DP12)</f>
        <v>6</v>
      </c>
      <c r="DQ13" s="18">
        <f>MIN(DQ4:DQ12)</f>
        <v>1</v>
      </c>
      <c r="EA13" s="23" t="s">
        <v>91</v>
      </c>
      <c r="EB13" s="18">
        <f>MIN(EB4:EB12)</f>
        <v>10</v>
      </c>
      <c r="ER13" s="18"/>
      <c r="FL13" s="23" t="s">
        <v>91</v>
      </c>
      <c r="FM13" s="18">
        <f>MIN(FM4:FM12)</f>
        <v>2</v>
      </c>
      <c r="HA13" s="23" t="s">
        <v>91</v>
      </c>
      <c r="HB13" s="18">
        <f>MIN(HB4:HB12)</f>
        <v>43</v>
      </c>
      <c r="HC13" s="18">
        <f>MIN(HC4:HC12)</f>
        <v>1.075</v>
      </c>
      <c r="HI13" s="23" t="s">
        <v>91</v>
      </c>
      <c r="HJ13" s="18">
        <f>MIN(HJ4:HJ12)</f>
        <v>0</v>
      </c>
      <c r="HX13" s="23" t="s">
        <v>91</v>
      </c>
      <c r="HY13" s="18">
        <f>MIN(HY4:HY12)</f>
        <v>23</v>
      </c>
      <c r="II13" s="23" t="s">
        <v>91</v>
      </c>
      <c r="IJ13" s="18">
        <f>MIN(IJ4:IJ12)</f>
        <v>8</v>
      </c>
      <c r="IP13" s="23" t="s">
        <v>91</v>
      </c>
      <c r="IQ13" s="18">
        <f>MIN(IQ4:IQ12)</f>
        <v>6</v>
      </c>
      <c r="IR13" s="18">
        <f>MIN(IR4:IR12)</f>
        <v>1</v>
      </c>
      <c r="JC13" s="18">
        <f>MIN(JC4:JC12)</f>
        <v>12</v>
      </c>
    </row>
    <row r="14" spans="1:263" s="17" customFormat="1" x14ac:dyDescent="0.25">
      <c r="Q14" s="18"/>
      <c r="AK14" s="23" t="s">
        <v>92</v>
      </c>
      <c r="AL14" s="18">
        <f>MAX(AL4:AL12)</f>
        <v>71</v>
      </c>
      <c r="BZ14" s="23" t="s">
        <v>92</v>
      </c>
      <c r="CA14" s="18">
        <f>MAX(CA4:CA12)</f>
        <v>133</v>
      </c>
      <c r="CB14" s="18">
        <f>MAX(CB4:CB12)</f>
        <v>3.3250000000000002</v>
      </c>
      <c r="CH14" s="23" t="s">
        <v>92</v>
      </c>
      <c r="CI14" s="18">
        <f>MAX(CI4:CI12)</f>
        <v>5</v>
      </c>
      <c r="CW14" s="23" t="s">
        <v>92</v>
      </c>
      <c r="CX14" s="18">
        <f>MAX(CX4:CX12)</f>
        <v>57</v>
      </c>
      <c r="DH14" s="23" t="s">
        <v>92</v>
      </c>
      <c r="DI14" s="18">
        <f>MAX(DI4:DI12)</f>
        <v>35</v>
      </c>
      <c r="DO14" s="23" t="s">
        <v>92</v>
      </c>
      <c r="DP14" s="18">
        <f>MAX(DP4:DP12)</f>
        <v>29</v>
      </c>
      <c r="DQ14" s="18">
        <f>MAX(DQ4:DQ12)</f>
        <v>4.833333333333333</v>
      </c>
      <c r="EA14" s="23" t="s">
        <v>92</v>
      </c>
      <c r="EB14" s="18">
        <f>MAX(EB4:EB12)</f>
        <v>30</v>
      </c>
      <c r="ER14" s="18"/>
      <c r="FL14" s="23" t="s">
        <v>92</v>
      </c>
      <c r="FM14" s="18">
        <f>MAX(FM4:FM12)</f>
        <v>53</v>
      </c>
      <c r="HA14" s="23" t="s">
        <v>92</v>
      </c>
      <c r="HB14" s="18">
        <f>MAX(HB4:HB12)</f>
        <v>108</v>
      </c>
      <c r="HC14" s="18">
        <f>MAX(HC4:HC12)</f>
        <v>2.7</v>
      </c>
      <c r="HI14" s="23" t="s">
        <v>92</v>
      </c>
      <c r="HJ14" s="18">
        <f>MAX(HJ4:HJ12)</f>
        <v>5</v>
      </c>
      <c r="HX14" s="23" t="s">
        <v>92</v>
      </c>
      <c r="HY14" s="18">
        <f>MAX(HY4:HY12)</f>
        <v>56</v>
      </c>
      <c r="II14" s="23" t="s">
        <v>92</v>
      </c>
      <c r="IJ14" s="18">
        <f>MAX(IJ4:IJ12)</f>
        <v>27</v>
      </c>
      <c r="IP14" s="23" t="s">
        <v>92</v>
      </c>
      <c r="IQ14" s="18">
        <f>MAX(IQ4:IQ12)</f>
        <v>26</v>
      </c>
      <c r="IR14" s="18">
        <f>MAX(IR4:IR12)</f>
        <v>4.333333333333333</v>
      </c>
      <c r="JC14" s="18">
        <f>MAX(JC4:JC12)</f>
        <v>30</v>
      </c>
    </row>
    <row r="15" spans="1:263" s="17" customFormat="1" x14ac:dyDescent="0.25">
      <c r="Q15" s="18"/>
      <c r="AK15" s="23" t="s">
        <v>94</v>
      </c>
      <c r="AL15" s="18">
        <f>AVERAGE(AL4:AL12)</f>
        <v>34.444444444444443</v>
      </c>
      <c r="BZ15" s="23" t="s">
        <v>94</v>
      </c>
      <c r="CA15" s="18">
        <f>AVERAGE(CA4:CA12)</f>
        <v>82.777777777777771</v>
      </c>
      <c r="CB15" s="18">
        <f>AVERAGE(CB4:CB12)</f>
        <v>2.0694444444444446</v>
      </c>
      <c r="CH15" s="23" t="s">
        <v>94</v>
      </c>
      <c r="CI15" s="18">
        <f>AVERAGE(CI4:CI12)</f>
        <v>3</v>
      </c>
      <c r="CW15" s="23" t="s">
        <v>94</v>
      </c>
      <c r="CX15" s="18">
        <f>AVERAGE(CX4:CX12)</f>
        <v>38.888888888888886</v>
      </c>
      <c r="DH15" s="23" t="s">
        <v>94</v>
      </c>
      <c r="DI15" s="18">
        <f>AVERAGE(DI4:DI12)</f>
        <v>17.555555555555557</v>
      </c>
      <c r="DO15" s="23" t="s">
        <v>94</v>
      </c>
      <c r="DP15" s="18">
        <f>AVERAGE(DP4:DP12)</f>
        <v>15.888888888888889</v>
      </c>
      <c r="DQ15" s="18">
        <f>AVERAGE(DQ4:DQ12)</f>
        <v>2.6481481481481479</v>
      </c>
      <c r="EA15" s="23" t="s">
        <v>94</v>
      </c>
      <c r="EB15" s="18">
        <f>AVERAGE(EB4:EB12)</f>
        <v>20.333333333333332</v>
      </c>
      <c r="ER15" s="18"/>
      <c r="FL15" s="23" t="s">
        <v>94</v>
      </c>
      <c r="FM15" s="18">
        <f>AVERAGE(FM4:FM12)</f>
        <v>28.666666666666668</v>
      </c>
      <c r="HA15" s="23" t="s">
        <v>94</v>
      </c>
      <c r="HB15" s="18">
        <f>AVERAGE(HB4:HB12)</f>
        <v>74.222222222222229</v>
      </c>
      <c r="HC15" s="18">
        <f>AVERAGE(HC4:HC12)</f>
        <v>1.8555555555555554</v>
      </c>
      <c r="HI15" s="23" t="s">
        <v>94</v>
      </c>
      <c r="HJ15" s="18">
        <f>AVERAGE(HJ4:HJ12)</f>
        <v>2.4444444444444446</v>
      </c>
      <c r="HX15" s="23" t="s">
        <v>94</v>
      </c>
      <c r="HY15" s="18">
        <f>AVERAGE(HY4:HY12)</f>
        <v>37</v>
      </c>
      <c r="II15" s="23" t="s">
        <v>94</v>
      </c>
      <c r="IJ15" s="18">
        <f>AVERAGE(IJ4:IJ12)</f>
        <v>16.333333333333332</v>
      </c>
      <c r="IP15" s="23" t="s">
        <v>94</v>
      </c>
      <c r="IQ15" s="18">
        <f>AVERAGE(IQ4:IQ12)</f>
        <v>15.777777777777779</v>
      </c>
      <c r="IR15" s="18">
        <f>AVERAGE(IR4:IR12)</f>
        <v>2.6296296296296293</v>
      </c>
      <c r="JC15" s="18">
        <f>AVERAGE(JC4:JC12)</f>
        <v>20.333333333333332</v>
      </c>
    </row>
    <row r="16" spans="1:263" s="17" customFormat="1" x14ac:dyDescent="0.25">
      <c r="Q16" s="18"/>
      <c r="AK16" s="23" t="s">
        <v>93</v>
      </c>
      <c r="AL16" s="18">
        <f>STDEV(AL4:AL12)</f>
        <v>23.843820536520102</v>
      </c>
      <c r="BZ16" s="23" t="s">
        <v>93</v>
      </c>
      <c r="CA16" s="18">
        <f>STDEV(CA4:CA12)</f>
        <v>28.375948344406822</v>
      </c>
      <c r="CB16" s="18">
        <f>STDEV(CB4:CB12)</f>
        <v>0.70939870861017063</v>
      </c>
      <c r="CH16" s="23" t="s">
        <v>93</v>
      </c>
      <c r="CI16" s="18">
        <f>STDEV(CI4:CI12)</f>
        <v>1.7320508075688772</v>
      </c>
      <c r="CW16" s="23" t="s">
        <v>93</v>
      </c>
      <c r="CX16" s="18">
        <f>STDEV(CX4:CX12)</f>
        <v>9.6104688288923281</v>
      </c>
      <c r="DH16" s="23" t="s">
        <v>93</v>
      </c>
      <c r="DI16" s="18">
        <f>STDEV(DI4:DI12)</f>
        <v>9.2616293262998699</v>
      </c>
      <c r="DO16" s="23" t="s">
        <v>93</v>
      </c>
      <c r="DP16" s="18">
        <f>STDEV(DP4:DP12)</f>
        <v>7.6720995243226016</v>
      </c>
      <c r="DQ16" s="18">
        <f>STDEV(DQ4:DQ12)</f>
        <v>1.2786832540537676</v>
      </c>
      <c r="EA16" s="23" t="s">
        <v>93</v>
      </c>
      <c r="EB16" s="18">
        <f>STDEV(EB4:EB12)</f>
        <v>6.2849025449882676</v>
      </c>
      <c r="ER16" s="18"/>
      <c r="FL16" s="23" t="s">
        <v>93</v>
      </c>
      <c r="FM16" s="18">
        <f>STDEV(FM4:FM12)</f>
        <v>20.081085628023203</v>
      </c>
      <c r="HA16" s="23" t="s">
        <v>93</v>
      </c>
      <c r="HB16" s="18">
        <f>STDEV(HB4:HB12)</f>
        <v>24.468233373998302</v>
      </c>
      <c r="HC16" s="18">
        <f>STDEV(HC4:HC12)</f>
        <v>0.6117058343499574</v>
      </c>
      <c r="HI16" s="23" t="s">
        <v>93</v>
      </c>
      <c r="HJ16" s="18">
        <f>STDEV(HJ4:HJ12)</f>
        <v>2.0069324297987157</v>
      </c>
      <c r="HX16" s="23" t="s">
        <v>93</v>
      </c>
      <c r="HY16" s="18">
        <f>STDEV(HY4:HY12)</f>
        <v>10.700467279516348</v>
      </c>
      <c r="II16" s="23" t="s">
        <v>93</v>
      </c>
      <c r="IJ16" s="18">
        <f>STDEV(IJ4:IJ12)</f>
        <v>5.8309518948453007</v>
      </c>
      <c r="IP16" s="23" t="s">
        <v>93</v>
      </c>
      <c r="IQ16" s="18">
        <f>STDEV(IQ4:IQ12)</f>
        <v>7.3955692441112646</v>
      </c>
      <c r="IR16" s="18">
        <f>STDEV(IR4:IR12)</f>
        <v>1.2325948740185444</v>
      </c>
      <c r="JC16" s="18">
        <f>STDEV(JC4:JC12)</f>
        <v>6.2249497989943663</v>
      </c>
    </row>
    <row r="17" spans="1:263" x14ac:dyDescent="0.25">
      <c r="A17" t="s">
        <v>63</v>
      </c>
      <c r="B17" s="47" t="s">
        <v>88</v>
      </c>
      <c r="C17" t="s">
        <v>56</v>
      </c>
      <c r="D17" t="s">
        <v>62</v>
      </c>
      <c r="E17" t="s">
        <v>62</v>
      </c>
      <c r="F17" t="s">
        <v>62</v>
      </c>
      <c r="G17" t="s">
        <v>62</v>
      </c>
      <c r="H17" t="s">
        <v>60</v>
      </c>
      <c r="I17" t="s">
        <v>62</v>
      </c>
      <c r="J17" t="s">
        <v>62</v>
      </c>
      <c r="K17" t="s">
        <v>60</v>
      </c>
      <c r="L17" t="s">
        <v>60</v>
      </c>
      <c r="M17" t="s">
        <v>60</v>
      </c>
      <c r="N17" t="s">
        <v>60</v>
      </c>
      <c r="O17" t="s">
        <v>60</v>
      </c>
      <c r="P17">
        <v>2</v>
      </c>
      <c r="Q17" s="1"/>
      <c r="R17" s="25">
        <v>3</v>
      </c>
      <c r="S17" s="25">
        <v>1</v>
      </c>
      <c r="T17" s="25">
        <v>2</v>
      </c>
      <c r="U17" s="25">
        <v>2</v>
      </c>
      <c r="V17" s="25">
        <v>3</v>
      </c>
      <c r="W17" s="6">
        <v>2</v>
      </c>
      <c r="X17" s="6">
        <v>2</v>
      </c>
      <c r="Y17" s="38">
        <v>1</v>
      </c>
      <c r="Z17" s="38">
        <v>3</v>
      </c>
      <c r="AA17" s="38">
        <v>0</v>
      </c>
      <c r="AB17" s="38">
        <v>3</v>
      </c>
      <c r="AC17" s="38">
        <v>3</v>
      </c>
      <c r="AD17" s="38">
        <v>3</v>
      </c>
      <c r="AE17" s="38">
        <v>2</v>
      </c>
      <c r="AF17" s="35">
        <v>2</v>
      </c>
      <c r="AG17" s="35">
        <v>0</v>
      </c>
      <c r="AH17" s="35">
        <v>3</v>
      </c>
      <c r="AI17" s="35">
        <v>3</v>
      </c>
      <c r="AJ17" s="35">
        <v>2</v>
      </c>
      <c r="AK17" s="35">
        <v>3</v>
      </c>
      <c r="AL17" s="12">
        <f>SUM(R17:AK17)</f>
        <v>43</v>
      </c>
      <c r="AM17">
        <v>2</v>
      </c>
      <c r="AN17">
        <v>2</v>
      </c>
      <c r="AO17">
        <v>2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2</v>
      </c>
      <c r="AV17">
        <v>3</v>
      </c>
      <c r="AW17">
        <v>3</v>
      </c>
      <c r="AX17">
        <v>1</v>
      </c>
      <c r="AY17">
        <v>1</v>
      </c>
      <c r="AZ17">
        <v>2</v>
      </c>
      <c r="BA17">
        <v>2</v>
      </c>
      <c r="BB17">
        <v>1</v>
      </c>
      <c r="BC17">
        <v>2</v>
      </c>
      <c r="BD17">
        <v>2</v>
      </c>
      <c r="BE17">
        <v>3</v>
      </c>
      <c r="BF17">
        <v>2</v>
      </c>
      <c r="BG17">
        <v>1</v>
      </c>
      <c r="BH17">
        <v>2</v>
      </c>
      <c r="BI17">
        <v>2</v>
      </c>
      <c r="BJ17">
        <v>2</v>
      </c>
      <c r="BK17">
        <v>1</v>
      </c>
      <c r="BL17">
        <v>2</v>
      </c>
      <c r="BM17">
        <v>1</v>
      </c>
      <c r="BN17">
        <v>2</v>
      </c>
      <c r="BO17">
        <v>3</v>
      </c>
      <c r="BP17">
        <v>1</v>
      </c>
      <c r="BQ17">
        <v>2</v>
      </c>
      <c r="BR17">
        <v>2</v>
      </c>
      <c r="BS17">
        <v>1</v>
      </c>
      <c r="BT17">
        <v>2</v>
      </c>
      <c r="BU17">
        <v>3</v>
      </c>
      <c r="BV17">
        <v>2</v>
      </c>
      <c r="BW17">
        <v>1</v>
      </c>
      <c r="BX17">
        <v>3</v>
      </c>
      <c r="BY17">
        <v>2</v>
      </c>
      <c r="BZ17">
        <v>1</v>
      </c>
      <c r="CA17" s="5">
        <f>SUM(AM17:BZ17)</f>
        <v>81</v>
      </c>
      <c r="CB17" s="5">
        <f t="shared" ref="CB17:CB26" si="18">CA17/40</f>
        <v>2.0249999999999999</v>
      </c>
      <c r="CC17" s="6">
        <v>1</v>
      </c>
      <c r="CD17">
        <v>1</v>
      </c>
      <c r="CE17">
        <v>0</v>
      </c>
      <c r="CF17">
        <v>1</v>
      </c>
      <c r="CG17">
        <v>1</v>
      </c>
      <c r="CH17" s="20">
        <v>0</v>
      </c>
      <c r="CI17" s="7">
        <f>SUM(CD17:CH17)</f>
        <v>3</v>
      </c>
      <c r="CJ17">
        <v>4</v>
      </c>
      <c r="CK17">
        <v>4</v>
      </c>
      <c r="CL17">
        <v>2</v>
      </c>
      <c r="CM17">
        <v>4</v>
      </c>
      <c r="CN17">
        <v>2</v>
      </c>
      <c r="CO17">
        <v>3</v>
      </c>
      <c r="CP17">
        <v>3</v>
      </c>
      <c r="CQ17">
        <v>4</v>
      </c>
      <c r="CR17">
        <v>3</v>
      </c>
      <c r="CS17">
        <v>4</v>
      </c>
      <c r="CT17">
        <v>1</v>
      </c>
      <c r="CU17">
        <v>2</v>
      </c>
      <c r="CV17">
        <v>1</v>
      </c>
      <c r="CW17">
        <v>2</v>
      </c>
      <c r="CX17" s="13">
        <f>SUM(CC17:CW17)</f>
        <v>46</v>
      </c>
      <c r="CY17">
        <v>2</v>
      </c>
      <c r="CZ17">
        <v>2</v>
      </c>
      <c r="DA17">
        <v>2</v>
      </c>
      <c r="DB17">
        <v>1</v>
      </c>
      <c r="DC17">
        <v>1</v>
      </c>
      <c r="DD17">
        <v>2</v>
      </c>
      <c r="DE17">
        <v>2</v>
      </c>
      <c r="DF17">
        <v>1</v>
      </c>
      <c r="DG17">
        <v>1</v>
      </c>
      <c r="DH17">
        <v>1</v>
      </c>
      <c r="DI17" s="14">
        <f>SUM(CY17:DH17)</f>
        <v>15</v>
      </c>
      <c r="DJ17">
        <v>4</v>
      </c>
      <c r="DK17">
        <v>4</v>
      </c>
      <c r="DL17">
        <v>4</v>
      </c>
      <c r="DM17">
        <v>4</v>
      </c>
      <c r="DN17">
        <v>2</v>
      </c>
      <c r="DO17">
        <v>2</v>
      </c>
      <c r="DP17" s="15">
        <f>SUM(DJ17:DO17)</f>
        <v>20</v>
      </c>
      <c r="DQ17" s="15">
        <f t="shared" ref="DQ17:DQ26" si="19">DP17/6</f>
        <v>3.3333333333333335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4</v>
      </c>
      <c r="DZ17">
        <v>3</v>
      </c>
      <c r="EA17">
        <v>4</v>
      </c>
      <c r="EB17" s="16">
        <f>SUM(DR17:EA17)</f>
        <v>32</v>
      </c>
      <c r="ED17" t="s">
        <v>56</v>
      </c>
      <c r="EE17" t="s">
        <v>62</v>
      </c>
      <c r="EF17" t="s">
        <v>62</v>
      </c>
      <c r="EG17" t="s">
        <v>62</v>
      </c>
      <c r="EH17" t="s">
        <v>62</v>
      </c>
      <c r="EI17" t="s">
        <v>62</v>
      </c>
      <c r="EJ17" t="s">
        <v>62</v>
      </c>
      <c r="EK17" t="s">
        <v>62</v>
      </c>
      <c r="EL17" t="s">
        <v>62</v>
      </c>
      <c r="EM17" t="s">
        <v>62</v>
      </c>
      <c r="EN17" t="s">
        <v>62</v>
      </c>
      <c r="EO17" t="s">
        <v>62</v>
      </c>
      <c r="EP17" t="s">
        <v>62</v>
      </c>
      <c r="EQ17" t="s">
        <v>62</v>
      </c>
      <c r="ER17" s="1"/>
      <c r="ES17">
        <v>3</v>
      </c>
      <c r="ET17">
        <v>2</v>
      </c>
      <c r="EU17">
        <v>2</v>
      </c>
      <c r="EV17">
        <v>2</v>
      </c>
      <c r="EW17">
        <v>1</v>
      </c>
      <c r="EX17">
        <v>2</v>
      </c>
      <c r="EY17">
        <v>2</v>
      </c>
      <c r="EZ17">
        <v>1</v>
      </c>
      <c r="FA17">
        <v>2</v>
      </c>
      <c r="FB17">
        <v>2</v>
      </c>
      <c r="FC17">
        <v>2</v>
      </c>
      <c r="FD17">
        <v>2</v>
      </c>
      <c r="FE17">
        <v>0</v>
      </c>
      <c r="FF17">
        <v>1</v>
      </c>
      <c r="FG17">
        <v>2</v>
      </c>
      <c r="FH17">
        <v>0</v>
      </c>
      <c r="FI17">
        <v>2</v>
      </c>
      <c r="FJ17">
        <v>2</v>
      </c>
      <c r="FK17">
        <v>1</v>
      </c>
      <c r="FL17">
        <v>2</v>
      </c>
      <c r="FM17" s="12">
        <f>SUM(ES17:FL17)</f>
        <v>33</v>
      </c>
      <c r="FN17">
        <v>3</v>
      </c>
      <c r="FO17">
        <v>2</v>
      </c>
      <c r="FP17">
        <v>2</v>
      </c>
      <c r="FQ17">
        <v>1</v>
      </c>
      <c r="FR17">
        <v>3</v>
      </c>
      <c r="FS17">
        <v>3</v>
      </c>
      <c r="FT17">
        <v>3</v>
      </c>
      <c r="FU17">
        <v>2</v>
      </c>
      <c r="FV17">
        <v>2</v>
      </c>
      <c r="FW17">
        <v>2</v>
      </c>
      <c r="FX17">
        <v>2</v>
      </c>
      <c r="FY17">
        <v>2</v>
      </c>
      <c r="FZ17">
        <v>1</v>
      </c>
      <c r="GA17">
        <v>1</v>
      </c>
      <c r="GB17">
        <v>2</v>
      </c>
      <c r="GC17">
        <v>2</v>
      </c>
      <c r="GD17">
        <v>3</v>
      </c>
      <c r="GE17">
        <v>2</v>
      </c>
      <c r="GF17">
        <v>1</v>
      </c>
      <c r="GG17">
        <v>1</v>
      </c>
      <c r="GH17">
        <v>1</v>
      </c>
      <c r="GI17">
        <v>2</v>
      </c>
      <c r="GJ17">
        <v>2</v>
      </c>
      <c r="GK17">
        <v>3</v>
      </c>
      <c r="GL17">
        <v>2</v>
      </c>
      <c r="GM17">
        <v>2</v>
      </c>
      <c r="GN17">
        <v>1</v>
      </c>
      <c r="GO17">
        <v>1</v>
      </c>
      <c r="GP17">
        <v>1</v>
      </c>
      <c r="GQ17">
        <v>2</v>
      </c>
      <c r="GR17">
        <v>3</v>
      </c>
      <c r="GS17">
        <v>2</v>
      </c>
      <c r="GT17">
        <v>3</v>
      </c>
      <c r="GU17">
        <v>3</v>
      </c>
      <c r="GV17">
        <v>3</v>
      </c>
      <c r="GW17">
        <v>3</v>
      </c>
      <c r="GX17">
        <v>1</v>
      </c>
      <c r="GY17">
        <v>3</v>
      </c>
      <c r="GZ17">
        <v>1</v>
      </c>
      <c r="HA17">
        <v>1</v>
      </c>
      <c r="HB17" s="5">
        <f>SUM(FN17:HA17)</f>
        <v>80</v>
      </c>
      <c r="HC17" s="5">
        <f t="shared" ref="HC17:HC26" si="20">HB17/40</f>
        <v>2</v>
      </c>
      <c r="HD17" s="6">
        <v>1</v>
      </c>
      <c r="HE17">
        <v>0</v>
      </c>
      <c r="HF17">
        <v>0</v>
      </c>
      <c r="HG17">
        <v>1</v>
      </c>
      <c r="HH17">
        <v>0</v>
      </c>
      <c r="HI17">
        <v>0</v>
      </c>
      <c r="HJ17" s="7">
        <f>SUM(HE17:HI17)</f>
        <v>1</v>
      </c>
      <c r="HK17">
        <v>3</v>
      </c>
      <c r="HL17">
        <v>4</v>
      </c>
      <c r="HM17">
        <v>2</v>
      </c>
      <c r="HN17">
        <v>2</v>
      </c>
      <c r="HO17">
        <v>1</v>
      </c>
      <c r="HP17">
        <v>2</v>
      </c>
      <c r="HQ17">
        <v>3</v>
      </c>
      <c r="HR17">
        <v>3</v>
      </c>
      <c r="HS17">
        <v>4</v>
      </c>
      <c r="HT17">
        <v>4</v>
      </c>
      <c r="HU17">
        <v>3</v>
      </c>
      <c r="HV17">
        <v>3</v>
      </c>
      <c r="HW17">
        <v>2</v>
      </c>
      <c r="HX17">
        <v>3</v>
      </c>
      <c r="HY17" s="13">
        <f>SUM(HK17:HX17)</f>
        <v>39</v>
      </c>
      <c r="HZ17">
        <v>2</v>
      </c>
      <c r="IA17">
        <v>3</v>
      </c>
      <c r="IB17">
        <v>2</v>
      </c>
      <c r="IC17">
        <v>1</v>
      </c>
      <c r="ID17">
        <v>2</v>
      </c>
      <c r="IE17">
        <v>2</v>
      </c>
      <c r="IF17">
        <v>2</v>
      </c>
      <c r="IG17">
        <v>2</v>
      </c>
      <c r="IH17">
        <v>2</v>
      </c>
      <c r="II17">
        <v>3</v>
      </c>
      <c r="IJ17" s="14">
        <f>SUM(HZ17:II17)</f>
        <v>21</v>
      </c>
      <c r="IK17">
        <v>4</v>
      </c>
      <c r="IL17">
        <v>4</v>
      </c>
      <c r="IM17">
        <v>4</v>
      </c>
      <c r="IN17">
        <v>4</v>
      </c>
      <c r="IO17">
        <v>2</v>
      </c>
      <c r="IP17">
        <v>2</v>
      </c>
      <c r="IQ17" s="15">
        <f>SUM(IK17:IP17)</f>
        <v>20</v>
      </c>
      <c r="IR17" s="15">
        <f t="shared" ref="IR17:IR26" si="21">IQ17/6</f>
        <v>3.3333333333333335</v>
      </c>
      <c r="IS17">
        <v>3</v>
      </c>
      <c r="IT17">
        <v>4</v>
      </c>
      <c r="IU17">
        <v>3</v>
      </c>
      <c r="IV17">
        <v>3</v>
      </c>
      <c r="IW17">
        <v>3</v>
      </c>
      <c r="IX17">
        <v>3</v>
      </c>
      <c r="IY17">
        <v>4</v>
      </c>
      <c r="IZ17">
        <v>3</v>
      </c>
      <c r="JA17">
        <v>3</v>
      </c>
      <c r="JB17">
        <v>3</v>
      </c>
      <c r="JC17" s="16">
        <f>SUM(IS17:JB17)</f>
        <v>32</v>
      </c>
    </row>
    <row r="18" spans="1:263" x14ac:dyDescent="0.25">
      <c r="A18" t="s">
        <v>64</v>
      </c>
      <c r="B18" s="48"/>
      <c r="C18" t="s">
        <v>56</v>
      </c>
      <c r="D18">
        <v>2</v>
      </c>
      <c r="E18" t="s">
        <v>62</v>
      </c>
      <c r="F18" t="s">
        <v>62</v>
      </c>
      <c r="G18" t="s">
        <v>56</v>
      </c>
      <c r="H18" t="s">
        <v>56</v>
      </c>
      <c r="I18" t="s">
        <v>56</v>
      </c>
      <c r="J18">
        <v>4</v>
      </c>
      <c r="K18">
        <v>4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s="1"/>
      <c r="R18" s="25">
        <v>1</v>
      </c>
      <c r="S18" s="25">
        <v>0</v>
      </c>
      <c r="T18" s="25">
        <v>1</v>
      </c>
      <c r="U18" s="25">
        <v>2</v>
      </c>
      <c r="V18" s="25">
        <v>2</v>
      </c>
      <c r="W18" s="6">
        <v>1</v>
      </c>
      <c r="X18" s="6">
        <v>1</v>
      </c>
      <c r="Y18" s="38">
        <v>2</v>
      </c>
      <c r="Z18" s="38">
        <v>2</v>
      </c>
      <c r="AA18" s="38">
        <v>2</v>
      </c>
      <c r="AB18" s="38">
        <v>3</v>
      </c>
      <c r="AC18" s="38">
        <v>4</v>
      </c>
      <c r="AD18" s="38">
        <v>3</v>
      </c>
      <c r="AE18" s="38">
        <v>3</v>
      </c>
      <c r="AF18" s="35">
        <v>3</v>
      </c>
      <c r="AG18" s="35">
        <v>0</v>
      </c>
      <c r="AH18" s="35">
        <v>1</v>
      </c>
      <c r="AI18" s="35">
        <v>3</v>
      </c>
      <c r="AJ18" s="35">
        <v>3</v>
      </c>
      <c r="AK18" s="35">
        <v>2</v>
      </c>
      <c r="AL18" s="12">
        <f t="shared" ref="AL18:AL26" si="22">SUM(R18:AK18)</f>
        <v>39</v>
      </c>
      <c r="AM18">
        <v>1</v>
      </c>
      <c r="AN18">
        <v>2</v>
      </c>
      <c r="AO18">
        <v>2</v>
      </c>
      <c r="AP18">
        <v>3</v>
      </c>
      <c r="AQ18">
        <v>2</v>
      </c>
      <c r="AR18">
        <v>2</v>
      </c>
      <c r="AS18">
        <v>3</v>
      </c>
      <c r="AT18">
        <v>2</v>
      </c>
      <c r="AU18">
        <v>2</v>
      </c>
      <c r="AV18">
        <v>2</v>
      </c>
      <c r="AW18">
        <v>1</v>
      </c>
      <c r="AX18">
        <v>1</v>
      </c>
      <c r="AY18">
        <v>2</v>
      </c>
      <c r="AZ18">
        <v>2</v>
      </c>
      <c r="BA18">
        <v>2</v>
      </c>
      <c r="BB18">
        <v>2</v>
      </c>
      <c r="BC18">
        <v>3</v>
      </c>
      <c r="BD18">
        <v>2</v>
      </c>
      <c r="BE18">
        <v>2</v>
      </c>
      <c r="BF18">
        <v>3</v>
      </c>
      <c r="BG18">
        <v>2</v>
      </c>
      <c r="BH18">
        <v>3</v>
      </c>
      <c r="BI18">
        <v>2</v>
      </c>
      <c r="BJ18">
        <v>3</v>
      </c>
      <c r="BK18">
        <v>3</v>
      </c>
      <c r="BL18">
        <v>3</v>
      </c>
      <c r="BM18">
        <v>2</v>
      </c>
      <c r="BN18">
        <v>1</v>
      </c>
      <c r="BO18">
        <v>2</v>
      </c>
      <c r="BP18">
        <v>1</v>
      </c>
      <c r="BQ18">
        <v>2</v>
      </c>
      <c r="BR18">
        <v>3</v>
      </c>
      <c r="BS18">
        <v>2</v>
      </c>
      <c r="BT18">
        <v>3</v>
      </c>
      <c r="BU18">
        <v>4</v>
      </c>
      <c r="BV18">
        <v>3</v>
      </c>
      <c r="BW18">
        <v>3</v>
      </c>
      <c r="BX18">
        <v>2</v>
      </c>
      <c r="BY18">
        <v>1</v>
      </c>
      <c r="BZ18">
        <v>1</v>
      </c>
      <c r="CA18" s="5">
        <f t="shared" ref="CA18:CA26" si="23">SUM(AM18:BZ18)</f>
        <v>87</v>
      </c>
      <c r="CB18" s="5">
        <f t="shared" si="18"/>
        <v>2.1749999999999998</v>
      </c>
      <c r="CC18" s="6">
        <v>1</v>
      </c>
      <c r="CD18">
        <v>0</v>
      </c>
      <c r="CE18">
        <v>0</v>
      </c>
      <c r="CF18">
        <v>0</v>
      </c>
      <c r="CG18">
        <v>0</v>
      </c>
      <c r="CH18" s="20">
        <v>0</v>
      </c>
      <c r="CI18" s="7">
        <f t="shared" ref="CI18:CI26" si="24">SUM(CD18:CH18)</f>
        <v>0</v>
      </c>
      <c r="CJ18">
        <v>3</v>
      </c>
      <c r="CK18">
        <v>4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2</v>
      </c>
      <c r="CW18">
        <v>3</v>
      </c>
      <c r="CX18" s="13">
        <f t="shared" ref="CX18:CX26" si="25">SUM(CC18:CW18)</f>
        <v>43</v>
      </c>
      <c r="CY18">
        <v>2</v>
      </c>
      <c r="CZ18">
        <v>2</v>
      </c>
      <c r="DA18">
        <v>2</v>
      </c>
      <c r="DB18">
        <v>2</v>
      </c>
      <c r="DC18">
        <v>2</v>
      </c>
      <c r="DD18">
        <v>2</v>
      </c>
      <c r="DE18">
        <v>2</v>
      </c>
      <c r="DF18">
        <v>2</v>
      </c>
      <c r="DG18">
        <v>2</v>
      </c>
      <c r="DH18">
        <v>2</v>
      </c>
      <c r="DI18" s="14">
        <f t="shared" ref="DI18:DI26" si="26">SUM(CY18:DH18)</f>
        <v>20</v>
      </c>
      <c r="DJ18">
        <v>4</v>
      </c>
      <c r="DK18">
        <v>2</v>
      </c>
      <c r="DL18">
        <v>1</v>
      </c>
      <c r="DM18">
        <v>2</v>
      </c>
      <c r="DN18">
        <v>1</v>
      </c>
      <c r="DO18">
        <v>5</v>
      </c>
      <c r="DP18" s="15">
        <f t="shared" ref="DP18:DP26" si="27">SUM(DJ18:DO18)</f>
        <v>15</v>
      </c>
      <c r="DQ18" s="15">
        <f t="shared" si="19"/>
        <v>2.5</v>
      </c>
      <c r="DR18">
        <v>3</v>
      </c>
      <c r="DS18">
        <v>3</v>
      </c>
      <c r="DT18">
        <v>3</v>
      </c>
      <c r="DU18">
        <v>3</v>
      </c>
      <c r="DV18">
        <v>3</v>
      </c>
      <c r="DW18">
        <v>3</v>
      </c>
      <c r="DX18">
        <v>3</v>
      </c>
      <c r="DY18">
        <v>2</v>
      </c>
      <c r="DZ18">
        <v>3</v>
      </c>
      <c r="EA18">
        <v>3</v>
      </c>
      <c r="EB18" s="16">
        <f t="shared" ref="EB18:EB26" si="28">SUM(DR18:EA18)</f>
        <v>29</v>
      </c>
      <c r="ED18" t="s">
        <v>56</v>
      </c>
      <c r="EE18" t="s">
        <v>56</v>
      </c>
      <c r="EF18" t="s">
        <v>62</v>
      </c>
      <c r="EG18" t="s">
        <v>62</v>
      </c>
      <c r="EH18" t="s">
        <v>56</v>
      </c>
      <c r="EI18" t="s">
        <v>56</v>
      </c>
      <c r="EJ18" t="s">
        <v>56</v>
      </c>
      <c r="EK18" t="s">
        <v>56</v>
      </c>
      <c r="EL18" t="s">
        <v>56</v>
      </c>
      <c r="EM18" t="s">
        <v>62</v>
      </c>
      <c r="EN18" t="s">
        <v>62</v>
      </c>
      <c r="EO18" t="s">
        <v>62</v>
      </c>
      <c r="EP18" t="s">
        <v>62</v>
      </c>
      <c r="EQ18" t="s">
        <v>56</v>
      </c>
      <c r="ER18" s="1"/>
      <c r="ES18">
        <v>2</v>
      </c>
      <c r="ET18">
        <v>2</v>
      </c>
      <c r="EU18">
        <v>1</v>
      </c>
      <c r="EV18">
        <v>2</v>
      </c>
      <c r="EW18">
        <v>2</v>
      </c>
      <c r="EX18">
        <v>1</v>
      </c>
      <c r="EY18">
        <v>0</v>
      </c>
      <c r="EZ18">
        <v>0</v>
      </c>
      <c r="FA18">
        <v>2</v>
      </c>
      <c r="FB18">
        <v>2</v>
      </c>
      <c r="FC18">
        <v>2</v>
      </c>
      <c r="FD18">
        <v>2</v>
      </c>
      <c r="FE18">
        <v>2</v>
      </c>
      <c r="FF18">
        <v>2</v>
      </c>
      <c r="FG18">
        <v>1</v>
      </c>
      <c r="FH18">
        <v>0</v>
      </c>
      <c r="FI18">
        <v>1</v>
      </c>
      <c r="FJ18">
        <v>2</v>
      </c>
      <c r="FK18">
        <v>2</v>
      </c>
      <c r="FL18">
        <v>2</v>
      </c>
      <c r="FM18" s="12">
        <f t="shared" ref="FM18:FM26" si="29">SUM(ES18:FL18)</f>
        <v>30</v>
      </c>
      <c r="FN18">
        <v>2</v>
      </c>
      <c r="FO18">
        <v>1</v>
      </c>
      <c r="FP18">
        <v>2</v>
      </c>
      <c r="FQ18">
        <v>2</v>
      </c>
      <c r="FR18">
        <v>2</v>
      </c>
      <c r="FS18">
        <v>2</v>
      </c>
      <c r="FT18">
        <v>2</v>
      </c>
      <c r="FU18">
        <v>2</v>
      </c>
      <c r="FV18">
        <v>2</v>
      </c>
      <c r="FW18">
        <v>2</v>
      </c>
      <c r="FX18">
        <v>1</v>
      </c>
      <c r="FY18">
        <v>2</v>
      </c>
      <c r="FZ18">
        <v>2</v>
      </c>
      <c r="GA18">
        <v>3</v>
      </c>
      <c r="GB18">
        <v>2</v>
      </c>
      <c r="GC18">
        <v>2</v>
      </c>
      <c r="GD18">
        <v>3</v>
      </c>
      <c r="GE18">
        <v>2</v>
      </c>
      <c r="GF18">
        <v>2</v>
      </c>
      <c r="GG18">
        <v>2</v>
      </c>
      <c r="GH18">
        <v>2</v>
      </c>
      <c r="GI18">
        <v>2</v>
      </c>
      <c r="GJ18">
        <v>2</v>
      </c>
      <c r="GK18">
        <v>2</v>
      </c>
      <c r="GL18">
        <v>3</v>
      </c>
      <c r="GM18">
        <v>2</v>
      </c>
      <c r="GN18">
        <v>1</v>
      </c>
      <c r="GO18">
        <v>1</v>
      </c>
      <c r="GP18">
        <v>2</v>
      </c>
      <c r="GQ18">
        <v>2</v>
      </c>
      <c r="GR18">
        <v>3</v>
      </c>
      <c r="GS18">
        <v>2</v>
      </c>
      <c r="GT18">
        <v>2</v>
      </c>
      <c r="GU18">
        <v>3</v>
      </c>
      <c r="GV18">
        <v>3</v>
      </c>
      <c r="GW18">
        <v>2</v>
      </c>
      <c r="GX18">
        <v>1</v>
      </c>
      <c r="GY18">
        <v>1</v>
      </c>
      <c r="GZ18">
        <v>1</v>
      </c>
      <c r="HA18">
        <v>1</v>
      </c>
      <c r="HB18" s="5">
        <f t="shared" ref="HB18:HB26" si="30">SUM(FN18:HA18)</f>
        <v>78</v>
      </c>
      <c r="HC18" s="5">
        <f t="shared" si="20"/>
        <v>1.95</v>
      </c>
      <c r="HD18" s="6">
        <v>1</v>
      </c>
      <c r="HE18">
        <v>0</v>
      </c>
      <c r="HF18">
        <v>1</v>
      </c>
      <c r="HG18">
        <v>0</v>
      </c>
      <c r="HH18">
        <v>0</v>
      </c>
      <c r="HI18">
        <v>0</v>
      </c>
      <c r="HJ18" s="7">
        <f t="shared" ref="HJ18:HJ26" si="31">SUM(HE18:HI18)</f>
        <v>1</v>
      </c>
      <c r="HK18">
        <v>3</v>
      </c>
      <c r="HL18">
        <v>3</v>
      </c>
      <c r="HM18">
        <v>2</v>
      </c>
      <c r="HN18">
        <v>3</v>
      </c>
      <c r="HO18">
        <v>2</v>
      </c>
      <c r="HP18">
        <v>3</v>
      </c>
      <c r="HQ18">
        <v>3</v>
      </c>
      <c r="HR18">
        <v>2</v>
      </c>
      <c r="HS18">
        <v>3</v>
      </c>
      <c r="HT18">
        <v>3</v>
      </c>
      <c r="HU18">
        <v>3</v>
      </c>
      <c r="HV18">
        <v>2</v>
      </c>
      <c r="HW18">
        <v>2</v>
      </c>
      <c r="HX18">
        <v>3</v>
      </c>
      <c r="HY18" s="13">
        <f t="shared" ref="HY18:HY26" si="32">SUM(HK18:HX18)</f>
        <v>37</v>
      </c>
      <c r="HZ18">
        <v>2</v>
      </c>
      <c r="IA18">
        <v>2</v>
      </c>
      <c r="IB18">
        <v>2</v>
      </c>
      <c r="IC18">
        <v>3</v>
      </c>
      <c r="ID18">
        <v>2</v>
      </c>
      <c r="IE18">
        <v>2</v>
      </c>
      <c r="IF18">
        <v>0</v>
      </c>
      <c r="IG18">
        <v>1</v>
      </c>
      <c r="IH18">
        <v>2</v>
      </c>
      <c r="II18">
        <v>2</v>
      </c>
      <c r="IJ18" s="14">
        <f t="shared" ref="IJ18:IJ26" si="33">SUM(HZ18:II18)</f>
        <v>18</v>
      </c>
      <c r="IK18">
        <v>4</v>
      </c>
      <c r="IL18">
        <v>4</v>
      </c>
      <c r="IM18">
        <v>4</v>
      </c>
      <c r="IN18">
        <v>4</v>
      </c>
      <c r="IO18">
        <v>4</v>
      </c>
      <c r="IP18">
        <v>4</v>
      </c>
      <c r="IQ18" s="15">
        <f t="shared" ref="IQ18:IQ26" si="34">SUM(IK18:IP18)</f>
        <v>24</v>
      </c>
      <c r="IR18" s="15">
        <f t="shared" si="21"/>
        <v>4</v>
      </c>
      <c r="IS18">
        <v>2</v>
      </c>
      <c r="IT18">
        <v>3</v>
      </c>
      <c r="IU18">
        <v>3</v>
      </c>
      <c r="IV18">
        <v>3</v>
      </c>
      <c r="IW18">
        <v>3</v>
      </c>
      <c r="IX18">
        <v>3</v>
      </c>
      <c r="IY18">
        <v>2</v>
      </c>
      <c r="IZ18">
        <v>3</v>
      </c>
      <c r="JA18">
        <v>3</v>
      </c>
      <c r="JB18">
        <v>2</v>
      </c>
      <c r="JC18" s="16">
        <f t="shared" ref="JC18:JC26" si="35">SUM(IS18:JB18)</f>
        <v>27</v>
      </c>
    </row>
    <row r="19" spans="1:263" x14ac:dyDescent="0.25">
      <c r="A19" t="s">
        <v>65</v>
      </c>
      <c r="B19" s="48"/>
      <c r="C19" t="s">
        <v>56</v>
      </c>
      <c r="D19" t="s">
        <v>62</v>
      </c>
      <c r="E19" t="s">
        <v>62</v>
      </c>
      <c r="F19" t="s">
        <v>62</v>
      </c>
      <c r="G19" t="s">
        <v>56</v>
      </c>
      <c r="H19" t="s">
        <v>56</v>
      </c>
      <c r="I19" t="s">
        <v>56</v>
      </c>
      <c r="J19" t="s">
        <v>62</v>
      </c>
      <c r="K19" t="s">
        <v>62</v>
      </c>
      <c r="L19" t="s">
        <v>62</v>
      </c>
      <c r="M19" t="s">
        <v>62</v>
      </c>
      <c r="N19" t="s">
        <v>62</v>
      </c>
      <c r="O19" t="s">
        <v>62</v>
      </c>
      <c r="P19" t="s">
        <v>62</v>
      </c>
      <c r="Q19" s="1"/>
      <c r="R19" s="25">
        <v>4</v>
      </c>
      <c r="S19" s="25">
        <v>4</v>
      </c>
      <c r="T19" s="25">
        <v>3</v>
      </c>
      <c r="U19" s="25">
        <v>3</v>
      </c>
      <c r="V19" s="25">
        <v>0</v>
      </c>
      <c r="W19" s="6">
        <v>3</v>
      </c>
      <c r="X19" s="6">
        <v>3</v>
      </c>
      <c r="Y19" s="38">
        <v>0</v>
      </c>
      <c r="Z19" s="38">
        <v>1</v>
      </c>
      <c r="AA19" s="38">
        <v>0</v>
      </c>
      <c r="AB19" s="38">
        <v>3</v>
      </c>
      <c r="AC19" s="38">
        <v>2</v>
      </c>
      <c r="AD19" s="38">
        <v>1</v>
      </c>
      <c r="AE19" s="38">
        <v>3</v>
      </c>
      <c r="AF19" s="35">
        <v>0</v>
      </c>
      <c r="AG19" s="35">
        <v>0</v>
      </c>
      <c r="AH19" s="35">
        <v>0</v>
      </c>
      <c r="AI19" s="35">
        <v>3</v>
      </c>
      <c r="AJ19" s="35">
        <v>3</v>
      </c>
      <c r="AK19" s="35">
        <v>3</v>
      </c>
      <c r="AL19" s="12">
        <f t="shared" si="22"/>
        <v>39</v>
      </c>
      <c r="AM19">
        <v>3</v>
      </c>
      <c r="AN19">
        <v>2</v>
      </c>
      <c r="AO19">
        <v>3</v>
      </c>
      <c r="AP19">
        <v>3</v>
      </c>
      <c r="AQ19">
        <v>2</v>
      </c>
      <c r="AR19">
        <v>3</v>
      </c>
      <c r="AS19">
        <v>3</v>
      </c>
      <c r="AT19">
        <v>3</v>
      </c>
      <c r="AU19">
        <v>2</v>
      </c>
      <c r="AV19">
        <v>3</v>
      </c>
      <c r="AW19">
        <v>3</v>
      </c>
      <c r="AX19">
        <v>2</v>
      </c>
      <c r="AY19">
        <v>3</v>
      </c>
      <c r="AZ19">
        <v>1</v>
      </c>
      <c r="BA19">
        <v>2</v>
      </c>
      <c r="BB19">
        <v>3</v>
      </c>
      <c r="BC19">
        <v>3</v>
      </c>
      <c r="BD19">
        <v>3</v>
      </c>
      <c r="BE19">
        <v>2</v>
      </c>
      <c r="BF19">
        <v>2</v>
      </c>
      <c r="BG19">
        <v>3</v>
      </c>
      <c r="BH19">
        <v>3</v>
      </c>
      <c r="BI19">
        <v>3</v>
      </c>
      <c r="BJ19">
        <v>3</v>
      </c>
      <c r="BK19">
        <v>3</v>
      </c>
      <c r="BL19">
        <v>3</v>
      </c>
      <c r="BM19">
        <v>1</v>
      </c>
      <c r="BN19">
        <v>1</v>
      </c>
      <c r="BO19">
        <v>2</v>
      </c>
      <c r="BP19">
        <v>1</v>
      </c>
      <c r="BQ19">
        <v>3</v>
      </c>
      <c r="BR19">
        <v>1</v>
      </c>
      <c r="BS19">
        <v>3</v>
      </c>
      <c r="BT19">
        <v>3</v>
      </c>
      <c r="BU19">
        <v>3</v>
      </c>
      <c r="BV19">
        <v>3</v>
      </c>
      <c r="BW19">
        <v>2</v>
      </c>
      <c r="BX19">
        <v>3</v>
      </c>
      <c r="BY19">
        <v>1</v>
      </c>
      <c r="BZ19">
        <v>1</v>
      </c>
      <c r="CA19" s="5">
        <f t="shared" si="23"/>
        <v>97</v>
      </c>
      <c r="CB19" s="5">
        <f t="shared" si="18"/>
        <v>2.4249999999999998</v>
      </c>
      <c r="CC19" s="6">
        <v>1</v>
      </c>
      <c r="CD19">
        <v>0</v>
      </c>
      <c r="CE19">
        <v>0</v>
      </c>
      <c r="CF19">
        <v>0</v>
      </c>
      <c r="CG19">
        <v>1</v>
      </c>
      <c r="CH19" s="20">
        <v>0</v>
      </c>
      <c r="CI19" s="7">
        <f t="shared" si="24"/>
        <v>1</v>
      </c>
      <c r="CJ19">
        <v>4</v>
      </c>
      <c r="CK19">
        <v>4</v>
      </c>
      <c r="CL19">
        <v>4</v>
      </c>
      <c r="CM19">
        <v>2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4</v>
      </c>
      <c r="CT19">
        <v>2</v>
      </c>
      <c r="CU19">
        <v>2</v>
      </c>
      <c r="CV19">
        <v>3</v>
      </c>
      <c r="CW19">
        <v>2</v>
      </c>
      <c r="CX19" s="13">
        <f t="shared" si="25"/>
        <v>40</v>
      </c>
      <c r="CY19">
        <v>2</v>
      </c>
      <c r="CZ19">
        <v>3</v>
      </c>
      <c r="DA19">
        <v>2</v>
      </c>
      <c r="DB19">
        <v>1</v>
      </c>
      <c r="DC19">
        <v>1</v>
      </c>
      <c r="DD19">
        <v>1</v>
      </c>
      <c r="DE19">
        <v>2</v>
      </c>
      <c r="DF19">
        <v>1</v>
      </c>
      <c r="DG19">
        <v>2</v>
      </c>
      <c r="DH19">
        <v>1</v>
      </c>
      <c r="DI19" s="14">
        <f t="shared" si="26"/>
        <v>16</v>
      </c>
      <c r="DJ19">
        <v>2</v>
      </c>
      <c r="DK19">
        <v>3</v>
      </c>
      <c r="DL19">
        <v>4</v>
      </c>
      <c r="DM19">
        <v>4</v>
      </c>
      <c r="DN19">
        <v>4</v>
      </c>
      <c r="DO19">
        <v>2</v>
      </c>
      <c r="DP19" s="15">
        <f t="shared" si="27"/>
        <v>19</v>
      </c>
      <c r="DQ19" s="15">
        <f t="shared" si="19"/>
        <v>3.1666666666666665</v>
      </c>
      <c r="DR19">
        <v>3</v>
      </c>
      <c r="DS19">
        <v>2</v>
      </c>
      <c r="DT19">
        <v>3</v>
      </c>
      <c r="DU19">
        <v>3</v>
      </c>
      <c r="DV19">
        <v>3</v>
      </c>
      <c r="DW19">
        <v>2</v>
      </c>
      <c r="DX19">
        <v>2</v>
      </c>
      <c r="DY19">
        <v>2</v>
      </c>
      <c r="DZ19">
        <v>3</v>
      </c>
      <c r="EA19">
        <v>2</v>
      </c>
      <c r="EB19" s="16">
        <f t="shared" si="28"/>
        <v>25</v>
      </c>
      <c r="ED19" t="s">
        <v>56</v>
      </c>
      <c r="EE19" t="s">
        <v>56</v>
      </c>
      <c r="EF19" t="s">
        <v>62</v>
      </c>
      <c r="EG19" t="s">
        <v>62</v>
      </c>
      <c r="EH19" t="s">
        <v>62</v>
      </c>
      <c r="EI19" t="s">
        <v>62</v>
      </c>
      <c r="EJ19" t="s">
        <v>56</v>
      </c>
      <c r="EK19" t="s">
        <v>62</v>
      </c>
      <c r="EL19" t="s">
        <v>62</v>
      </c>
      <c r="EM19" t="s">
        <v>62</v>
      </c>
      <c r="EN19" t="s">
        <v>62</v>
      </c>
      <c r="EO19" t="s">
        <v>62</v>
      </c>
      <c r="EP19" t="s">
        <v>62</v>
      </c>
      <c r="EQ19" t="s">
        <v>62</v>
      </c>
      <c r="ER19" s="1"/>
      <c r="ES19">
        <v>3</v>
      </c>
      <c r="ET19">
        <v>3</v>
      </c>
      <c r="EU19">
        <v>3</v>
      </c>
      <c r="EV19">
        <v>3</v>
      </c>
      <c r="EW19">
        <v>3</v>
      </c>
      <c r="EX19">
        <v>2</v>
      </c>
      <c r="EY19">
        <v>3</v>
      </c>
      <c r="EZ19">
        <v>3</v>
      </c>
      <c r="FA19">
        <v>1</v>
      </c>
      <c r="FB19">
        <v>0</v>
      </c>
      <c r="FC19">
        <v>3</v>
      </c>
      <c r="FD19">
        <v>3</v>
      </c>
      <c r="FE19">
        <v>0</v>
      </c>
      <c r="FF19">
        <v>3</v>
      </c>
      <c r="FG19">
        <v>0</v>
      </c>
      <c r="FH19">
        <v>0</v>
      </c>
      <c r="FI19">
        <v>0</v>
      </c>
      <c r="FJ19">
        <v>1</v>
      </c>
      <c r="FK19">
        <v>2</v>
      </c>
      <c r="FL19">
        <v>4</v>
      </c>
      <c r="FM19" s="12">
        <f t="shared" si="29"/>
        <v>40</v>
      </c>
      <c r="FN19">
        <v>2</v>
      </c>
      <c r="FO19">
        <v>1</v>
      </c>
      <c r="FP19">
        <v>3</v>
      </c>
      <c r="FQ19">
        <v>2</v>
      </c>
      <c r="FR19">
        <v>2</v>
      </c>
      <c r="FS19">
        <v>1</v>
      </c>
      <c r="FT19">
        <v>2</v>
      </c>
      <c r="FU19">
        <v>4</v>
      </c>
      <c r="FV19">
        <v>1</v>
      </c>
      <c r="FW19">
        <v>2</v>
      </c>
      <c r="FX19">
        <v>2</v>
      </c>
      <c r="FY19">
        <v>1</v>
      </c>
      <c r="FZ19">
        <v>2</v>
      </c>
      <c r="GA19">
        <v>2</v>
      </c>
      <c r="GB19">
        <v>2</v>
      </c>
      <c r="GC19">
        <v>3</v>
      </c>
      <c r="GD19">
        <v>3</v>
      </c>
      <c r="GE19">
        <v>3</v>
      </c>
      <c r="GF19">
        <v>3</v>
      </c>
      <c r="GG19">
        <v>3</v>
      </c>
      <c r="GH19">
        <v>3</v>
      </c>
      <c r="GI19">
        <v>3</v>
      </c>
      <c r="GJ19">
        <v>3</v>
      </c>
      <c r="GK19">
        <v>3</v>
      </c>
      <c r="GL19">
        <v>2</v>
      </c>
      <c r="GM19">
        <v>2</v>
      </c>
      <c r="GN19">
        <v>1</v>
      </c>
      <c r="GO19">
        <v>1</v>
      </c>
      <c r="GP19">
        <v>1</v>
      </c>
      <c r="GQ19">
        <v>2</v>
      </c>
      <c r="GR19">
        <v>2</v>
      </c>
      <c r="GS19">
        <v>1</v>
      </c>
      <c r="GT19">
        <v>3</v>
      </c>
      <c r="GU19">
        <v>4</v>
      </c>
      <c r="GV19">
        <v>4</v>
      </c>
      <c r="GW19">
        <v>3</v>
      </c>
      <c r="GX19">
        <v>2</v>
      </c>
      <c r="GY19">
        <v>1</v>
      </c>
      <c r="GZ19">
        <v>1</v>
      </c>
      <c r="HA19">
        <v>1</v>
      </c>
      <c r="HB19" s="5">
        <f t="shared" si="30"/>
        <v>87</v>
      </c>
      <c r="HC19" s="5">
        <f t="shared" si="20"/>
        <v>2.1749999999999998</v>
      </c>
      <c r="HD19" s="6">
        <v>1</v>
      </c>
      <c r="HE19">
        <v>0</v>
      </c>
      <c r="HF19">
        <v>0</v>
      </c>
      <c r="HG19">
        <v>0</v>
      </c>
      <c r="HH19">
        <v>0</v>
      </c>
      <c r="HI19">
        <v>0</v>
      </c>
      <c r="HJ19" s="7">
        <f t="shared" si="31"/>
        <v>0</v>
      </c>
      <c r="HK19">
        <v>4</v>
      </c>
      <c r="HL19">
        <v>4</v>
      </c>
      <c r="HM19">
        <v>3</v>
      </c>
      <c r="HN19">
        <v>2</v>
      </c>
      <c r="HO19">
        <v>2</v>
      </c>
      <c r="HP19">
        <v>3</v>
      </c>
      <c r="HQ19">
        <v>2</v>
      </c>
      <c r="HR19">
        <v>2</v>
      </c>
      <c r="HS19">
        <v>2</v>
      </c>
      <c r="HT19">
        <v>3</v>
      </c>
      <c r="HU19">
        <v>2</v>
      </c>
      <c r="HV19">
        <v>2</v>
      </c>
      <c r="HW19">
        <v>1</v>
      </c>
      <c r="HX19">
        <v>1</v>
      </c>
      <c r="HY19" s="13">
        <f t="shared" si="32"/>
        <v>33</v>
      </c>
      <c r="HZ19">
        <v>2</v>
      </c>
      <c r="IA19">
        <v>2</v>
      </c>
      <c r="IB19">
        <v>3</v>
      </c>
      <c r="IC19">
        <v>0</v>
      </c>
      <c r="ID19">
        <v>2</v>
      </c>
      <c r="IE19">
        <v>0</v>
      </c>
      <c r="IF19">
        <v>1</v>
      </c>
      <c r="IG19">
        <v>1</v>
      </c>
      <c r="IH19">
        <v>2</v>
      </c>
      <c r="II19">
        <v>2</v>
      </c>
      <c r="IJ19" s="14">
        <f t="shared" si="33"/>
        <v>15</v>
      </c>
      <c r="IK19">
        <v>4</v>
      </c>
      <c r="IL19">
        <v>4</v>
      </c>
      <c r="IM19">
        <v>4</v>
      </c>
      <c r="IN19">
        <v>4</v>
      </c>
      <c r="IO19">
        <v>2</v>
      </c>
      <c r="IP19">
        <v>2</v>
      </c>
      <c r="IQ19" s="15">
        <f t="shared" si="34"/>
        <v>20</v>
      </c>
      <c r="IR19" s="15">
        <f t="shared" si="21"/>
        <v>3.3333333333333335</v>
      </c>
      <c r="IS19">
        <v>3</v>
      </c>
      <c r="IT19">
        <v>2</v>
      </c>
      <c r="IU19">
        <v>3</v>
      </c>
      <c r="IV19">
        <v>3</v>
      </c>
      <c r="IW19">
        <v>3</v>
      </c>
      <c r="IX19">
        <v>3</v>
      </c>
      <c r="IY19">
        <v>2</v>
      </c>
      <c r="IZ19">
        <v>2</v>
      </c>
      <c r="JA19">
        <v>2</v>
      </c>
      <c r="JB19">
        <v>3</v>
      </c>
      <c r="JC19" s="16">
        <f t="shared" si="35"/>
        <v>26</v>
      </c>
    </row>
    <row r="20" spans="1:263" x14ac:dyDescent="0.25">
      <c r="A20" t="s">
        <v>66</v>
      </c>
      <c r="B20" s="48"/>
      <c r="C20" t="s">
        <v>56</v>
      </c>
      <c r="D20" t="s">
        <v>62</v>
      </c>
      <c r="E20" t="s">
        <v>62</v>
      </c>
      <c r="F20" t="s">
        <v>62</v>
      </c>
      <c r="G20" t="s">
        <v>56</v>
      </c>
      <c r="H20" t="s">
        <v>67</v>
      </c>
      <c r="I20" t="s">
        <v>56</v>
      </c>
      <c r="J20" t="s">
        <v>56</v>
      </c>
      <c r="K20" t="s">
        <v>56</v>
      </c>
      <c r="L20" t="s">
        <v>56</v>
      </c>
      <c r="M20" t="s">
        <v>62</v>
      </c>
      <c r="N20" t="s">
        <v>62</v>
      </c>
      <c r="O20" t="s">
        <v>56</v>
      </c>
      <c r="P20" t="s">
        <v>56</v>
      </c>
      <c r="Q20" s="1"/>
      <c r="R20" s="25">
        <v>2</v>
      </c>
      <c r="S20" s="25">
        <v>3</v>
      </c>
      <c r="T20" s="25">
        <v>0</v>
      </c>
      <c r="U20" s="25">
        <v>0</v>
      </c>
      <c r="V20" s="25">
        <v>0</v>
      </c>
      <c r="W20" s="6">
        <v>3</v>
      </c>
      <c r="X20" s="6">
        <v>3</v>
      </c>
      <c r="Y20" s="38">
        <v>3</v>
      </c>
      <c r="Z20" s="38">
        <v>0</v>
      </c>
      <c r="AA20" s="38">
        <v>0</v>
      </c>
      <c r="AB20" s="38">
        <v>0</v>
      </c>
      <c r="AC20" s="38">
        <v>2</v>
      </c>
      <c r="AD20" s="38">
        <v>3</v>
      </c>
      <c r="AE20" s="38">
        <v>3</v>
      </c>
      <c r="AF20" s="35">
        <v>1</v>
      </c>
      <c r="AG20" s="35">
        <v>0</v>
      </c>
      <c r="AH20" s="35">
        <v>0</v>
      </c>
      <c r="AI20" s="35">
        <v>0</v>
      </c>
      <c r="AJ20" s="35">
        <v>0</v>
      </c>
      <c r="AK20" s="35">
        <v>2</v>
      </c>
      <c r="AL20" s="12">
        <f t="shared" si="22"/>
        <v>25</v>
      </c>
      <c r="AM20">
        <v>2</v>
      </c>
      <c r="AN20">
        <v>1</v>
      </c>
      <c r="AO20">
        <v>1</v>
      </c>
      <c r="AP20">
        <v>3</v>
      </c>
      <c r="AQ20">
        <v>1</v>
      </c>
      <c r="AR20">
        <v>1</v>
      </c>
      <c r="AS20">
        <v>3</v>
      </c>
      <c r="AT20">
        <v>2</v>
      </c>
      <c r="AU20">
        <v>1</v>
      </c>
      <c r="AV20">
        <v>1</v>
      </c>
      <c r="AW20">
        <v>3</v>
      </c>
      <c r="AX20">
        <v>1</v>
      </c>
      <c r="AY20">
        <v>1</v>
      </c>
      <c r="AZ20">
        <v>1</v>
      </c>
      <c r="BA20">
        <v>3</v>
      </c>
      <c r="BB20">
        <v>1</v>
      </c>
      <c r="BC20">
        <v>2</v>
      </c>
      <c r="BD20">
        <v>2</v>
      </c>
      <c r="BE20">
        <v>3</v>
      </c>
      <c r="BF20">
        <v>2</v>
      </c>
      <c r="BG20">
        <v>2</v>
      </c>
      <c r="BH20">
        <v>3</v>
      </c>
      <c r="BI20">
        <v>2</v>
      </c>
      <c r="BJ20">
        <v>1</v>
      </c>
      <c r="BK20">
        <v>1</v>
      </c>
      <c r="BL20">
        <v>3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2</v>
      </c>
      <c r="BT20">
        <v>2</v>
      </c>
      <c r="BU20">
        <v>3</v>
      </c>
      <c r="BV20">
        <v>2</v>
      </c>
      <c r="BW20">
        <v>1</v>
      </c>
      <c r="BX20">
        <v>1</v>
      </c>
      <c r="BY20">
        <v>1</v>
      </c>
      <c r="BZ20">
        <v>1</v>
      </c>
      <c r="CA20" s="5">
        <f t="shared" si="23"/>
        <v>66</v>
      </c>
      <c r="CB20" s="5">
        <f t="shared" si="18"/>
        <v>1.65</v>
      </c>
      <c r="CC20" s="6">
        <v>1</v>
      </c>
      <c r="CD20">
        <v>0</v>
      </c>
      <c r="CE20">
        <v>0</v>
      </c>
      <c r="CF20">
        <v>0</v>
      </c>
      <c r="CG20">
        <v>0</v>
      </c>
      <c r="CH20" s="20">
        <v>0</v>
      </c>
      <c r="CI20" s="7">
        <f t="shared" si="24"/>
        <v>0</v>
      </c>
      <c r="CJ20">
        <v>4</v>
      </c>
      <c r="CK20">
        <v>4</v>
      </c>
      <c r="CL20">
        <v>4</v>
      </c>
      <c r="CM20">
        <v>2</v>
      </c>
      <c r="CN20">
        <v>1</v>
      </c>
      <c r="CO20">
        <v>1</v>
      </c>
      <c r="CP20">
        <v>1</v>
      </c>
      <c r="CQ20">
        <v>2</v>
      </c>
      <c r="CR20">
        <v>3</v>
      </c>
      <c r="CS20">
        <v>3</v>
      </c>
      <c r="CT20">
        <v>2</v>
      </c>
      <c r="CU20">
        <v>3</v>
      </c>
      <c r="CV20">
        <v>2</v>
      </c>
      <c r="CW20">
        <v>2</v>
      </c>
      <c r="CX20" s="13">
        <f t="shared" si="25"/>
        <v>35</v>
      </c>
      <c r="CY20">
        <v>3</v>
      </c>
      <c r="CZ20">
        <v>1</v>
      </c>
      <c r="DA20">
        <v>3</v>
      </c>
      <c r="DB20">
        <v>1</v>
      </c>
      <c r="DC20">
        <v>1</v>
      </c>
      <c r="DD20">
        <v>3</v>
      </c>
      <c r="DE20">
        <v>1</v>
      </c>
      <c r="DF20">
        <v>3</v>
      </c>
      <c r="DG20">
        <v>2</v>
      </c>
      <c r="DH20">
        <v>2</v>
      </c>
      <c r="DI20" s="14">
        <f t="shared" si="26"/>
        <v>20</v>
      </c>
      <c r="DJ20">
        <v>4</v>
      </c>
      <c r="DK20">
        <v>4</v>
      </c>
      <c r="DL20">
        <v>2</v>
      </c>
      <c r="DM20">
        <v>4</v>
      </c>
      <c r="DN20">
        <v>4</v>
      </c>
      <c r="DO20">
        <v>2</v>
      </c>
      <c r="DP20" s="15">
        <f t="shared" si="27"/>
        <v>20</v>
      </c>
      <c r="DQ20" s="15">
        <f t="shared" si="19"/>
        <v>3.3333333333333335</v>
      </c>
      <c r="DR20">
        <v>3</v>
      </c>
      <c r="DS20">
        <v>3</v>
      </c>
      <c r="DT20">
        <v>2</v>
      </c>
      <c r="DU20">
        <v>3</v>
      </c>
      <c r="DV20">
        <v>3</v>
      </c>
      <c r="DW20">
        <v>3</v>
      </c>
      <c r="DX20">
        <v>3</v>
      </c>
      <c r="DY20">
        <v>4</v>
      </c>
      <c r="DZ20">
        <v>2</v>
      </c>
      <c r="EA20">
        <v>2</v>
      </c>
      <c r="EB20" s="16">
        <f t="shared" si="28"/>
        <v>28</v>
      </c>
      <c r="ED20" t="s">
        <v>56</v>
      </c>
      <c r="EE20" t="s">
        <v>62</v>
      </c>
      <c r="EF20" t="s">
        <v>62</v>
      </c>
      <c r="EG20" t="s">
        <v>56</v>
      </c>
      <c r="EH20" t="s">
        <v>56</v>
      </c>
      <c r="EI20" t="s">
        <v>56</v>
      </c>
      <c r="EJ20" t="s">
        <v>56</v>
      </c>
      <c r="EK20" t="s">
        <v>56</v>
      </c>
      <c r="EL20" t="s">
        <v>56</v>
      </c>
      <c r="EM20" t="s">
        <v>56</v>
      </c>
      <c r="EN20" t="s">
        <v>56</v>
      </c>
      <c r="EO20" t="s">
        <v>56</v>
      </c>
      <c r="EP20" t="s">
        <v>62</v>
      </c>
      <c r="EQ20" t="s">
        <v>56</v>
      </c>
      <c r="ER20" s="1"/>
      <c r="ES20">
        <v>3</v>
      </c>
      <c r="ET20">
        <v>2</v>
      </c>
      <c r="EU20">
        <v>0</v>
      </c>
      <c r="EV20">
        <v>0</v>
      </c>
      <c r="EW20">
        <v>0</v>
      </c>
      <c r="EX20">
        <v>3</v>
      </c>
      <c r="EY20">
        <v>3</v>
      </c>
      <c r="EZ20">
        <v>1</v>
      </c>
      <c r="FA20">
        <v>0</v>
      </c>
      <c r="FB20">
        <v>0</v>
      </c>
      <c r="FC20">
        <v>1</v>
      </c>
      <c r="FD20">
        <v>2</v>
      </c>
      <c r="FE20">
        <v>3</v>
      </c>
      <c r="FF20">
        <v>3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2</v>
      </c>
      <c r="FM20" s="12">
        <f t="shared" si="29"/>
        <v>23</v>
      </c>
      <c r="FN20">
        <v>2</v>
      </c>
      <c r="FO20">
        <v>1</v>
      </c>
      <c r="FP20">
        <v>1</v>
      </c>
      <c r="FQ20">
        <v>3</v>
      </c>
      <c r="FR20">
        <v>1</v>
      </c>
      <c r="FS20">
        <v>1</v>
      </c>
      <c r="FT20">
        <v>2</v>
      </c>
      <c r="FU20">
        <v>2</v>
      </c>
      <c r="FV20">
        <v>1</v>
      </c>
      <c r="FW20">
        <v>1</v>
      </c>
      <c r="FX20">
        <v>3</v>
      </c>
      <c r="FY20">
        <v>3</v>
      </c>
      <c r="FZ20">
        <v>1</v>
      </c>
      <c r="GA20">
        <v>1</v>
      </c>
      <c r="GB20">
        <v>3</v>
      </c>
      <c r="GC20">
        <v>1</v>
      </c>
      <c r="GD20">
        <v>2</v>
      </c>
      <c r="GE20">
        <v>3</v>
      </c>
      <c r="GF20">
        <v>1</v>
      </c>
      <c r="GG20">
        <v>1</v>
      </c>
      <c r="GH20">
        <v>1</v>
      </c>
      <c r="GI20">
        <v>2</v>
      </c>
      <c r="GJ20">
        <v>2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2</v>
      </c>
      <c r="GU20">
        <v>2</v>
      </c>
      <c r="GV20">
        <v>3</v>
      </c>
      <c r="GW20">
        <v>2</v>
      </c>
      <c r="GX20">
        <v>1</v>
      </c>
      <c r="GY20">
        <v>1</v>
      </c>
      <c r="GZ20">
        <v>1</v>
      </c>
      <c r="HA20">
        <v>1</v>
      </c>
      <c r="HB20" s="5">
        <f t="shared" si="30"/>
        <v>61</v>
      </c>
      <c r="HC20" s="5">
        <f t="shared" si="20"/>
        <v>1.5249999999999999</v>
      </c>
      <c r="HD20" s="6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 s="7">
        <f t="shared" si="31"/>
        <v>0</v>
      </c>
      <c r="HK20">
        <v>4</v>
      </c>
      <c r="HL20">
        <v>4</v>
      </c>
      <c r="HM20">
        <v>4</v>
      </c>
      <c r="HN20">
        <v>4</v>
      </c>
      <c r="HO20">
        <v>4</v>
      </c>
      <c r="HP20">
        <v>4</v>
      </c>
      <c r="HQ20">
        <v>4</v>
      </c>
      <c r="HR20">
        <v>4</v>
      </c>
      <c r="HS20">
        <v>2</v>
      </c>
      <c r="HT20">
        <v>3</v>
      </c>
      <c r="HU20">
        <v>4</v>
      </c>
      <c r="HV20">
        <v>1</v>
      </c>
      <c r="HW20">
        <v>1</v>
      </c>
      <c r="HX20">
        <v>2</v>
      </c>
      <c r="HY20" s="13">
        <f t="shared" si="32"/>
        <v>45</v>
      </c>
      <c r="HZ20">
        <v>1</v>
      </c>
      <c r="IA20">
        <v>1</v>
      </c>
      <c r="IB20">
        <v>2</v>
      </c>
      <c r="IC20">
        <v>0</v>
      </c>
      <c r="ID20">
        <v>2</v>
      </c>
      <c r="IE20">
        <v>1</v>
      </c>
      <c r="IF20">
        <v>1</v>
      </c>
      <c r="IG20">
        <v>0</v>
      </c>
      <c r="IH20">
        <v>2</v>
      </c>
      <c r="II20">
        <v>3</v>
      </c>
      <c r="IJ20" s="14">
        <f t="shared" si="33"/>
        <v>13</v>
      </c>
      <c r="IK20">
        <v>4</v>
      </c>
      <c r="IL20">
        <v>4</v>
      </c>
      <c r="IM20">
        <v>4</v>
      </c>
      <c r="IN20">
        <v>4</v>
      </c>
      <c r="IO20">
        <v>4</v>
      </c>
      <c r="IP20">
        <v>4</v>
      </c>
      <c r="IQ20" s="15">
        <f t="shared" si="34"/>
        <v>24</v>
      </c>
      <c r="IR20" s="15">
        <f t="shared" si="21"/>
        <v>4</v>
      </c>
      <c r="IS20">
        <v>2</v>
      </c>
      <c r="IT20">
        <v>3</v>
      </c>
      <c r="IU20">
        <v>1</v>
      </c>
      <c r="IV20">
        <v>1</v>
      </c>
      <c r="IW20">
        <v>2</v>
      </c>
      <c r="IX20">
        <v>2</v>
      </c>
      <c r="IY20">
        <v>1</v>
      </c>
      <c r="IZ20">
        <v>1</v>
      </c>
      <c r="JA20">
        <v>3</v>
      </c>
      <c r="JB20">
        <v>2</v>
      </c>
      <c r="JC20" s="16">
        <f t="shared" si="35"/>
        <v>18</v>
      </c>
    </row>
    <row r="21" spans="1:263" x14ac:dyDescent="0.25">
      <c r="A21" t="s">
        <v>68</v>
      </c>
      <c r="B21" s="48"/>
      <c r="C21" t="s">
        <v>62</v>
      </c>
      <c r="D21" t="s">
        <v>62</v>
      </c>
      <c r="E21" t="s">
        <v>62</v>
      </c>
      <c r="F21" t="s">
        <v>62</v>
      </c>
      <c r="G21" t="s">
        <v>56</v>
      </c>
      <c r="H21" t="s">
        <v>62</v>
      </c>
      <c r="I21" t="s">
        <v>56</v>
      </c>
      <c r="J21" t="s">
        <v>56</v>
      </c>
      <c r="K21" t="s">
        <v>56</v>
      </c>
      <c r="L21" t="s">
        <v>62</v>
      </c>
      <c r="M21" t="s">
        <v>62</v>
      </c>
      <c r="N21" t="s">
        <v>62</v>
      </c>
      <c r="O21" t="s">
        <v>62</v>
      </c>
      <c r="P21" t="s">
        <v>56</v>
      </c>
      <c r="Q21" s="1"/>
      <c r="R21" s="25">
        <v>2</v>
      </c>
      <c r="S21" s="25">
        <v>3</v>
      </c>
      <c r="T21" s="25">
        <v>2</v>
      </c>
      <c r="U21" s="25">
        <v>3</v>
      </c>
      <c r="V21" s="25">
        <v>1</v>
      </c>
      <c r="W21" s="6">
        <v>2</v>
      </c>
      <c r="X21" s="6">
        <v>3</v>
      </c>
      <c r="Y21" s="38">
        <v>2</v>
      </c>
      <c r="Z21" s="38">
        <v>0</v>
      </c>
      <c r="AA21" s="38">
        <v>0</v>
      </c>
      <c r="AB21" s="38">
        <v>3</v>
      </c>
      <c r="AC21" s="38">
        <v>3</v>
      </c>
      <c r="AD21" s="38">
        <v>2</v>
      </c>
      <c r="AE21" s="38">
        <v>1</v>
      </c>
      <c r="AF21" s="35">
        <v>3</v>
      </c>
      <c r="AG21" s="35">
        <v>0</v>
      </c>
      <c r="AH21" s="35">
        <v>3</v>
      </c>
      <c r="AI21" s="35">
        <v>3</v>
      </c>
      <c r="AJ21" s="35">
        <v>3</v>
      </c>
      <c r="AK21" s="35">
        <v>1</v>
      </c>
      <c r="AL21" s="12">
        <f t="shared" si="22"/>
        <v>40</v>
      </c>
      <c r="AM21">
        <v>3</v>
      </c>
      <c r="AN21">
        <v>3</v>
      </c>
      <c r="AO21">
        <v>2</v>
      </c>
      <c r="AP21">
        <v>2</v>
      </c>
      <c r="AQ21">
        <v>2</v>
      </c>
      <c r="AR21">
        <v>2</v>
      </c>
      <c r="AS21">
        <v>3</v>
      </c>
      <c r="AT21">
        <v>1</v>
      </c>
      <c r="AU21">
        <v>3</v>
      </c>
      <c r="AV21">
        <v>2</v>
      </c>
      <c r="AW21">
        <v>3</v>
      </c>
      <c r="AX21">
        <v>2</v>
      </c>
      <c r="AY21">
        <v>3</v>
      </c>
      <c r="AZ21">
        <v>3</v>
      </c>
      <c r="BA21">
        <v>3</v>
      </c>
      <c r="BB21">
        <v>3</v>
      </c>
      <c r="BC21">
        <v>4</v>
      </c>
      <c r="BD21">
        <v>3</v>
      </c>
      <c r="BE21">
        <v>3</v>
      </c>
      <c r="BF21">
        <v>2</v>
      </c>
      <c r="BG21">
        <v>2</v>
      </c>
      <c r="BH21">
        <v>3</v>
      </c>
      <c r="BI21">
        <v>2</v>
      </c>
      <c r="BJ21">
        <v>4</v>
      </c>
      <c r="BK21">
        <v>4</v>
      </c>
      <c r="BL21">
        <v>4</v>
      </c>
      <c r="BM21">
        <v>1</v>
      </c>
      <c r="BN21">
        <v>4</v>
      </c>
      <c r="BO21">
        <v>3</v>
      </c>
      <c r="BP21">
        <v>1</v>
      </c>
      <c r="BQ21">
        <v>3</v>
      </c>
      <c r="BR21">
        <v>3</v>
      </c>
      <c r="BS21">
        <v>4</v>
      </c>
      <c r="BT21">
        <v>4</v>
      </c>
      <c r="BU21">
        <v>4</v>
      </c>
      <c r="BV21">
        <v>3</v>
      </c>
      <c r="BW21">
        <v>2</v>
      </c>
      <c r="BX21">
        <v>4</v>
      </c>
      <c r="BY21">
        <v>3</v>
      </c>
      <c r="BZ21">
        <v>4</v>
      </c>
      <c r="CA21" s="5">
        <f t="shared" si="23"/>
        <v>114</v>
      </c>
      <c r="CB21" s="5">
        <f t="shared" si="18"/>
        <v>2.85</v>
      </c>
      <c r="CC21" s="6">
        <v>1</v>
      </c>
      <c r="CD21">
        <v>1</v>
      </c>
      <c r="CE21">
        <v>0</v>
      </c>
      <c r="CF21">
        <v>1</v>
      </c>
      <c r="CG21">
        <v>0</v>
      </c>
      <c r="CH21" s="20">
        <v>0</v>
      </c>
      <c r="CI21" s="7">
        <f t="shared" si="24"/>
        <v>2</v>
      </c>
      <c r="CJ21">
        <v>1</v>
      </c>
      <c r="CK21">
        <v>2</v>
      </c>
      <c r="CL21">
        <v>2</v>
      </c>
      <c r="CM21">
        <v>2</v>
      </c>
      <c r="CN21">
        <v>3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2</v>
      </c>
      <c r="CV21">
        <v>1</v>
      </c>
      <c r="CW21">
        <v>2</v>
      </c>
      <c r="CX21" s="13">
        <f t="shared" si="25"/>
        <v>31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3</v>
      </c>
      <c r="DF21">
        <v>2</v>
      </c>
      <c r="DG21">
        <v>2</v>
      </c>
      <c r="DH21">
        <v>2</v>
      </c>
      <c r="DI21" s="14">
        <f t="shared" si="26"/>
        <v>14</v>
      </c>
      <c r="DJ21">
        <v>2</v>
      </c>
      <c r="DK21">
        <v>2</v>
      </c>
      <c r="DL21">
        <v>1</v>
      </c>
      <c r="DM21">
        <v>4</v>
      </c>
      <c r="DN21">
        <v>2</v>
      </c>
      <c r="DO21">
        <v>2</v>
      </c>
      <c r="DP21" s="15">
        <f t="shared" si="27"/>
        <v>13</v>
      </c>
      <c r="DQ21" s="15">
        <f t="shared" si="19"/>
        <v>2.1666666666666665</v>
      </c>
      <c r="DR21">
        <v>2</v>
      </c>
      <c r="DS21">
        <v>2</v>
      </c>
      <c r="DT21">
        <v>2</v>
      </c>
      <c r="DU21">
        <v>1</v>
      </c>
      <c r="DV21">
        <v>1</v>
      </c>
      <c r="DW21">
        <v>2</v>
      </c>
      <c r="DX21">
        <v>2</v>
      </c>
      <c r="DY21">
        <v>2</v>
      </c>
      <c r="DZ21">
        <v>1</v>
      </c>
      <c r="EA21">
        <v>2</v>
      </c>
      <c r="EB21" s="16">
        <f t="shared" si="28"/>
        <v>17</v>
      </c>
      <c r="ED21" t="s">
        <v>56</v>
      </c>
      <c r="EE21" t="s">
        <v>62</v>
      </c>
      <c r="EF21" t="s">
        <v>62</v>
      </c>
      <c r="EG21" t="s">
        <v>62</v>
      </c>
      <c r="EH21" t="s">
        <v>56</v>
      </c>
      <c r="EI21" t="s">
        <v>56</v>
      </c>
      <c r="EJ21" t="s">
        <v>56</v>
      </c>
      <c r="EK21" t="s">
        <v>56</v>
      </c>
      <c r="EL21" t="s">
        <v>56</v>
      </c>
      <c r="EM21" t="s">
        <v>56</v>
      </c>
      <c r="EN21" t="s">
        <v>62</v>
      </c>
      <c r="EO21" t="s">
        <v>62</v>
      </c>
      <c r="EP21" t="s">
        <v>62</v>
      </c>
      <c r="EQ21" t="s">
        <v>56</v>
      </c>
      <c r="ER21" s="1"/>
      <c r="ES21">
        <v>3</v>
      </c>
      <c r="ET21">
        <v>1</v>
      </c>
      <c r="EU21">
        <v>2</v>
      </c>
      <c r="EV21">
        <v>3</v>
      </c>
      <c r="EW21">
        <v>3</v>
      </c>
      <c r="EX21">
        <v>3</v>
      </c>
      <c r="EY21">
        <v>1</v>
      </c>
      <c r="EZ21">
        <v>3</v>
      </c>
      <c r="FA21">
        <v>4</v>
      </c>
      <c r="FB21">
        <v>3</v>
      </c>
      <c r="FC21">
        <v>3</v>
      </c>
      <c r="FD21">
        <v>3</v>
      </c>
      <c r="FE21">
        <v>3</v>
      </c>
      <c r="FF21">
        <v>4</v>
      </c>
      <c r="FG21">
        <v>3</v>
      </c>
      <c r="FH21">
        <v>0</v>
      </c>
      <c r="FI21">
        <v>3</v>
      </c>
      <c r="FJ21">
        <v>3</v>
      </c>
      <c r="FK21">
        <v>4</v>
      </c>
      <c r="FL21">
        <v>2</v>
      </c>
      <c r="FM21" s="12">
        <f t="shared" si="29"/>
        <v>54</v>
      </c>
      <c r="FN21">
        <v>3</v>
      </c>
      <c r="FO21">
        <v>2</v>
      </c>
      <c r="FP21">
        <v>2</v>
      </c>
      <c r="FQ21">
        <v>3</v>
      </c>
      <c r="FR21">
        <v>3</v>
      </c>
      <c r="FS21">
        <v>4</v>
      </c>
      <c r="FT21">
        <v>4</v>
      </c>
      <c r="FU21">
        <v>2</v>
      </c>
      <c r="FV21">
        <v>4</v>
      </c>
      <c r="FW21">
        <v>3</v>
      </c>
      <c r="FX21">
        <v>2</v>
      </c>
      <c r="FY21">
        <v>2</v>
      </c>
      <c r="FZ21">
        <v>3</v>
      </c>
      <c r="GA21">
        <v>4</v>
      </c>
      <c r="GB21">
        <v>3</v>
      </c>
      <c r="GC21">
        <v>3</v>
      </c>
      <c r="GD21">
        <v>4</v>
      </c>
      <c r="GE21">
        <v>3</v>
      </c>
      <c r="GF21">
        <v>2</v>
      </c>
      <c r="GG21">
        <v>2</v>
      </c>
      <c r="GH21">
        <v>2</v>
      </c>
      <c r="GI21">
        <v>3</v>
      </c>
      <c r="GJ21">
        <v>3</v>
      </c>
      <c r="GK21">
        <v>3</v>
      </c>
      <c r="GL21">
        <v>3</v>
      </c>
      <c r="GM21">
        <v>3</v>
      </c>
      <c r="GN21">
        <v>1</v>
      </c>
      <c r="GO21">
        <v>4</v>
      </c>
      <c r="GP21">
        <v>3</v>
      </c>
      <c r="GQ21">
        <v>1</v>
      </c>
      <c r="GR21">
        <v>3</v>
      </c>
      <c r="GS21">
        <v>3</v>
      </c>
      <c r="GT21">
        <v>3</v>
      </c>
      <c r="GU21">
        <v>2</v>
      </c>
      <c r="GV21">
        <v>4</v>
      </c>
      <c r="GW21">
        <v>4</v>
      </c>
      <c r="GX21">
        <v>2</v>
      </c>
      <c r="GY21">
        <v>4</v>
      </c>
      <c r="GZ21">
        <v>1</v>
      </c>
      <c r="HA21">
        <v>1</v>
      </c>
      <c r="HB21" s="5">
        <f t="shared" si="30"/>
        <v>111</v>
      </c>
      <c r="HC21" s="5">
        <f t="shared" si="20"/>
        <v>2.7749999999999999</v>
      </c>
      <c r="HD21" s="6">
        <v>1</v>
      </c>
      <c r="HE21">
        <v>1</v>
      </c>
      <c r="HF21">
        <v>0</v>
      </c>
      <c r="HG21">
        <v>1</v>
      </c>
      <c r="HH21">
        <v>0</v>
      </c>
      <c r="HI21">
        <v>1</v>
      </c>
      <c r="HJ21" s="7">
        <f t="shared" si="31"/>
        <v>3</v>
      </c>
      <c r="HK21">
        <v>1</v>
      </c>
      <c r="HL21">
        <v>0</v>
      </c>
      <c r="HM21">
        <v>0</v>
      </c>
      <c r="HN21">
        <v>0</v>
      </c>
      <c r="HO21">
        <v>3</v>
      </c>
      <c r="HP21">
        <v>3</v>
      </c>
      <c r="HQ21">
        <v>3</v>
      </c>
      <c r="HR21">
        <v>3</v>
      </c>
      <c r="HS21">
        <v>3</v>
      </c>
      <c r="HT21">
        <v>4</v>
      </c>
      <c r="HU21">
        <v>4</v>
      </c>
      <c r="HV21">
        <v>2</v>
      </c>
      <c r="HW21">
        <v>4</v>
      </c>
      <c r="HX21">
        <v>4</v>
      </c>
      <c r="HY21" s="13">
        <f t="shared" si="32"/>
        <v>34</v>
      </c>
      <c r="HZ21">
        <v>2</v>
      </c>
      <c r="IA21">
        <v>1</v>
      </c>
      <c r="IB21">
        <v>1</v>
      </c>
      <c r="IC21">
        <v>0</v>
      </c>
      <c r="ID21">
        <v>1</v>
      </c>
      <c r="IE21">
        <v>0</v>
      </c>
      <c r="IF21">
        <v>1</v>
      </c>
      <c r="IG21">
        <v>0</v>
      </c>
      <c r="IH21">
        <v>0</v>
      </c>
      <c r="II21">
        <v>1</v>
      </c>
      <c r="IJ21" s="14">
        <f t="shared" si="33"/>
        <v>7</v>
      </c>
      <c r="IK21">
        <v>2</v>
      </c>
      <c r="IL21">
        <v>2</v>
      </c>
      <c r="IM21">
        <v>2</v>
      </c>
      <c r="IN21">
        <v>2</v>
      </c>
      <c r="IO21">
        <v>1</v>
      </c>
      <c r="IP21">
        <v>2</v>
      </c>
      <c r="IQ21" s="15">
        <f t="shared" si="34"/>
        <v>11</v>
      </c>
      <c r="IR21" s="15">
        <f t="shared" si="21"/>
        <v>1.8333333333333333</v>
      </c>
      <c r="IS21">
        <v>2</v>
      </c>
      <c r="IT21">
        <v>2</v>
      </c>
      <c r="IU21">
        <v>1</v>
      </c>
      <c r="IV21">
        <v>2</v>
      </c>
      <c r="IW21">
        <v>2</v>
      </c>
      <c r="IX21">
        <v>1</v>
      </c>
      <c r="IY21">
        <v>2</v>
      </c>
      <c r="IZ21">
        <v>3</v>
      </c>
      <c r="JA21">
        <v>1</v>
      </c>
      <c r="JB21">
        <v>2</v>
      </c>
      <c r="JC21" s="16">
        <f t="shared" si="35"/>
        <v>18</v>
      </c>
    </row>
    <row r="22" spans="1:263" x14ac:dyDescent="0.25">
      <c r="A22" t="s">
        <v>69</v>
      </c>
      <c r="B22" s="48"/>
      <c r="C22" t="s">
        <v>56</v>
      </c>
      <c r="D22" t="s">
        <v>62</v>
      </c>
      <c r="E22" t="s">
        <v>62</v>
      </c>
      <c r="F22" t="s">
        <v>62</v>
      </c>
      <c r="G22" t="s">
        <v>62</v>
      </c>
      <c r="H22" t="s">
        <v>62</v>
      </c>
      <c r="I22" t="s">
        <v>56</v>
      </c>
      <c r="J22" t="s">
        <v>62</v>
      </c>
      <c r="K22" t="s">
        <v>62</v>
      </c>
      <c r="L22" t="s">
        <v>62</v>
      </c>
      <c r="M22" t="s">
        <v>62</v>
      </c>
      <c r="N22" t="s">
        <v>62</v>
      </c>
      <c r="O22" t="s">
        <v>62</v>
      </c>
      <c r="P22" t="s">
        <v>62</v>
      </c>
      <c r="Q22" s="1"/>
      <c r="R22" s="25">
        <v>3</v>
      </c>
      <c r="S22" s="25">
        <v>3</v>
      </c>
      <c r="T22" s="25">
        <v>3</v>
      </c>
      <c r="U22" s="25">
        <v>3</v>
      </c>
      <c r="V22" s="25">
        <v>3</v>
      </c>
      <c r="W22" s="6">
        <v>3</v>
      </c>
      <c r="X22" s="6">
        <v>3</v>
      </c>
      <c r="Y22" s="38">
        <v>2</v>
      </c>
      <c r="Z22" s="38">
        <v>2</v>
      </c>
      <c r="AA22" s="38">
        <v>0</v>
      </c>
      <c r="AB22" s="38">
        <v>2</v>
      </c>
      <c r="AC22" s="38">
        <v>1</v>
      </c>
      <c r="AD22" s="38">
        <v>2</v>
      </c>
      <c r="AE22" s="38">
        <v>2</v>
      </c>
      <c r="AF22" s="35">
        <v>3</v>
      </c>
      <c r="AG22" s="35">
        <v>0</v>
      </c>
      <c r="AH22" s="35">
        <v>2</v>
      </c>
      <c r="AI22" s="35">
        <v>3</v>
      </c>
      <c r="AJ22" s="35">
        <v>3</v>
      </c>
      <c r="AK22" s="35">
        <v>0</v>
      </c>
      <c r="AL22" s="12">
        <f t="shared" si="22"/>
        <v>43</v>
      </c>
      <c r="AM22">
        <v>2</v>
      </c>
      <c r="AN22">
        <v>2</v>
      </c>
      <c r="AO22">
        <v>2</v>
      </c>
      <c r="AP22">
        <v>3</v>
      </c>
      <c r="AQ22">
        <v>3</v>
      </c>
      <c r="AR22">
        <v>3</v>
      </c>
      <c r="AS22">
        <v>3</v>
      </c>
      <c r="AT22">
        <v>1</v>
      </c>
      <c r="AU22">
        <v>2</v>
      </c>
      <c r="AV22">
        <v>3</v>
      </c>
      <c r="AW22">
        <v>3</v>
      </c>
      <c r="AX22">
        <v>1</v>
      </c>
      <c r="AY22">
        <v>2</v>
      </c>
      <c r="AZ22">
        <v>3</v>
      </c>
      <c r="BA22">
        <v>1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2</v>
      </c>
      <c r="BH22">
        <v>1</v>
      </c>
      <c r="BI22">
        <v>1</v>
      </c>
      <c r="BJ22">
        <v>3</v>
      </c>
      <c r="BK22">
        <v>2</v>
      </c>
      <c r="BL22">
        <v>2</v>
      </c>
      <c r="BM22">
        <v>1</v>
      </c>
      <c r="BN22">
        <v>1</v>
      </c>
      <c r="BO22">
        <v>1</v>
      </c>
      <c r="BP22">
        <v>3</v>
      </c>
      <c r="BQ22">
        <v>3</v>
      </c>
      <c r="BR22">
        <v>3</v>
      </c>
      <c r="BS22">
        <v>2</v>
      </c>
      <c r="BT22">
        <v>3</v>
      </c>
      <c r="BU22">
        <v>4</v>
      </c>
      <c r="BV22">
        <v>2</v>
      </c>
      <c r="BW22">
        <v>2</v>
      </c>
      <c r="BX22">
        <v>4</v>
      </c>
      <c r="BY22">
        <v>1</v>
      </c>
      <c r="BZ22">
        <v>1</v>
      </c>
      <c r="CA22" s="5">
        <f t="shared" si="23"/>
        <v>91</v>
      </c>
      <c r="CB22" s="5">
        <f t="shared" si="18"/>
        <v>2.2749999999999999</v>
      </c>
      <c r="CC22" s="6">
        <v>1</v>
      </c>
      <c r="CD22">
        <v>1</v>
      </c>
      <c r="CE22">
        <v>1</v>
      </c>
      <c r="CF22">
        <v>1</v>
      </c>
      <c r="CG22">
        <v>1</v>
      </c>
      <c r="CH22" s="20">
        <v>0</v>
      </c>
      <c r="CI22" s="7">
        <f t="shared" si="24"/>
        <v>4</v>
      </c>
      <c r="CJ22">
        <v>4</v>
      </c>
      <c r="CK22">
        <v>3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3</v>
      </c>
      <c r="CS22">
        <v>3</v>
      </c>
      <c r="CT22">
        <v>3</v>
      </c>
      <c r="CU22">
        <v>2</v>
      </c>
      <c r="CV22">
        <v>3</v>
      </c>
      <c r="CW22">
        <v>2</v>
      </c>
      <c r="CX22" s="13">
        <f t="shared" si="25"/>
        <v>44</v>
      </c>
      <c r="CY22">
        <v>2</v>
      </c>
      <c r="CZ22">
        <v>2</v>
      </c>
      <c r="DA22">
        <v>2</v>
      </c>
      <c r="DB22">
        <v>0</v>
      </c>
      <c r="DC22">
        <v>2</v>
      </c>
      <c r="DD22">
        <v>1</v>
      </c>
      <c r="DE22">
        <v>1</v>
      </c>
      <c r="DF22">
        <v>1</v>
      </c>
      <c r="DG22">
        <v>1</v>
      </c>
      <c r="DH22">
        <v>1</v>
      </c>
      <c r="DI22" s="14">
        <f t="shared" si="26"/>
        <v>13</v>
      </c>
      <c r="DJ22">
        <v>2</v>
      </c>
      <c r="DK22">
        <v>2</v>
      </c>
      <c r="DL22">
        <v>2</v>
      </c>
      <c r="DM22">
        <v>2</v>
      </c>
      <c r="DN22">
        <v>2</v>
      </c>
      <c r="DO22">
        <v>2</v>
      </c>
      <c r="DP22" s="15">
        <f t="shared" si="27"/>
        <v>12</v>
      </c>
      <c r="DQ22" s="15">
        <f t="shared" si="19"/>
        <v>2</v>
      </c>
      <c r="DR22">
        <v>2</v>
      </c>
      <c r="DS22">
        <v>2</v>
      </c>
      <c r="DT22">
        <v>2</v>
      </c>
      <c r="DU22">
        <v>3</v>
      </c>
      <c r="DV22">
        <v>3</v>
      </c>
      <c r="DW22">
        <v>2</v>
      </c>
      <c r="DX22">
        <v>2</v>
      </c>
      <c r="DY22">
        <v>2</v>
      </c>
      <c r="DZ22">
        <v>2</v>
      </c>
      <c r="EA22">
        <v>2</v>
      </c>
      <c r="EB22" s="16">
        <f t="shared" si="28"/>
        <v>22</v>
      </c>
      <c r="ED22" t="s">
        <v>56</v>
      </c>
      <c r="EE22" t="s">
        <v>62</v>
      </c>
      <c r="EF22" t="s">
        <v>62</v>
      </c>
      <c r="EG22" t="s">
        <v>62</v>
      </c>
      <c r="EH22" t="s">
        <v>62</v>
      </c>
      <c r="EI22" t="s">
        <v>62</v>
      </c>
      <c r="EJ22" t="s">
        <v>56</v>
      </c>
      <c r="EK22" t="s">
        <v>62</v>
      </c>
      <c r="EL22" t="s">
        <v>62</v>
      </c>
      <c r="EM22" t="s">
        <v>62</v>
      </c>
      <c r="EN22" t="s">
        <v>62</v>
      </c>
      <c r="EO22" t="s">
        <v>62</v>
      </c>
      <c r="EP22" t="s">
        <v>62</v>
      </c>
      <c r="EQ22" t="s">
        <v>62</v>
      </c>
      <c r="ER22" s="1"/>
      <c r="ES22">
        <v>3</v>
      </c>
      <c r="ET22">
        <v>2</v>
      </c>
      <c r="EU22">
        <v>0</v>
      </c>
      <c r="EV22">
        <v>3</v>
      </c>
      <c r="EW22">
        <v>0</v>
      </c>
      <c r="EX22">
        <v>3</v>
      </c>
      <c r="EY22">
        <v>3</v>
      </c>
      <c r="EZ22">
        <v>1</v>
      </c>
      <c r="FA22">
        <v>2</v>
      </c>
      <c r="FB22">
        <v>1</v>
      </c>
      <c r="FC22">
        <v>3</v>
      </c>
      <c r="FD22">
        <v>2</v>
      </c>
      <c r="FE22">
        <v>2</v>
      </c>
      <c r="FF22">
        <v>2</v>
      </c>
      <c r="FG22">
        <v>3</v>
      </c>
      <c r="FH22">
        <v>0</v>
      </c>
      <c r="FI22">
        <v>1</v>
      </c>
      <c r="FJ22">
        <v>3</v>
      </c>
      <c r="FK22">
        <v>2</v>
      </c>
      <c r="FL22">
        <v>3</v>
      </c>
      <c r="FM22" s="12">
        <f t="shared" si="29"/>
        <v>39</v>
      </c>
      <c r="FN22">
        <v>2</v>
      </c>
      <c r="FO22">
        <v>1</v>
      </c>
      <c r="FP22">
        <v>1</v>
      </c>
      <c r="FQ22">
        <v>2</v>
      </c>
      <c r="FR22">
        <v>2</v>
      </c>
      <c r="FS22">
        <v>2</v>
      </c>
      <c r="FT22">
        <v>3</v>
      </c>
      <c r="FU22">
        <v>3</v>
      </c>
      <c r="FV22">
        <v>2</v>
      </c>
      <c r="FW22">
        <v>2</v>
      </c>
      <c r="FX22">
        <v>2</v>
      </c>
      <c r="FY22">
        <v>2</v>
      </c>
      <c r="FZ22">
        <v>2</v>
      </c>
      <c r="GA22">
        <v>1</v>
      </c>
      <c r="GB22">
        <v>2</v>
      </c>
      <c r="GC22">
        <v>3</v>
      </c>
      <c r="GD22">
        <v>3</v>
      </c>
      <c r="GE22">
        <v>2</v>
      </c>
      <c r="GF22">
        <v>2</v>
      </c>
      <c r="GG22">
        <v>2</v>
      </c>
      <c r="GH22">
        <v>3</v>
      </c>
      <c r="GI22">
        <v>3</v>
      </c>
      <c r="GJ22">
        <v>3</v>
      </c>
      <c r="GK22">
        <v>1</v>
      </c>
      <c r="GL22">
        <v>3</v>
      </c>
      <c r="GM22">
        <v>3</v>
      </c>
      <c r="GN22">
        <v>1</v>
      </c>
      <c r="GO22">
        <v>1</v>
      </c>
      <c r="GP22">
        <v>1</v>
      </c>
      <c r="GQ22">
        <v>3</v>
      </c>
      <c r="GR22">
        <v>3</v>
      </c>
      <c r="GS22">
        <v>2</v>
      </c>
      <c r="GT22">
        <v>3</v>
      </c>
      <c r="GU22">
        <v>3</v>
      </c>
      <c r="GV22">
        <v>4</v>
      </c>
      <c r="GW22">
        <v>3</v>
      </c>
      <c r="GX22">
        <v>1</v>
      </c>
      <c r="GY22">
        <v>2</v>
      </c>
      <c r="GZ22">
        <v>1</v>
      </c>
      <c r="HA22">
        <v>1</v>
      </c>
      <c r="HB22" s="5">
        <f t="shared" si="30"/>
        <v>86</v>
      </c>
      <c r="HC22" s="5">
        <f t="shared" si="20"/>
        <v>2.15</v>
      </c>
      <c r="HD22" s="6">
        <v>1</v>
      </c>
      <c r="HE22">
        <v>0</v>
      </c>
      <c r="HF22">
        <v>1</v>
      </c>
      <c r="HG22">
        <v>1</v>
      </c>
      <c r="HH22">
        <v>1</v>
      </c>
      <c r="HI22">
        <v>0</v>
      </c>
      <c r="HJ22" s="7">
        <f t="shared" si="31"/>
        <v>3</v>
      </c>
      <c r="HK22">
        <v>3</v>
      </c>
      <c r="HL22">
        <v>2</v>
      </c>
      <c r="HM22">
        <v>2</v>
      </c>
      <c r="HN22">
        <v>2</v>
      </c>
      <c r="HO22">
        <v>1</v>
      </c>
      <c r="HP22">
        <v>3</v>
      </c>
      <c r="HQ22">
        <v>3</v>
      </c>
      <c r="HR22">
        <v>2</v>
      </c>
      <c r="HS22">
        <v>3</v>
      </c>
      <c r="HT22">
        <v>2</v>
      </c>
      <c r="HU22">
        <v>2</v>
      </c>
      <c r="HV22">
        <v>2</v>
      </c>
      <c r="HW22">
        <v>2</v>
      </c>
      <c r="HX22">
        <v>2</v>
      </c>
      <c r="HY22" s="13">
        <f t="shared" si="32"/>
        <v>31</v>
      </c>
      <c r="HZ22">
        <v>2</v>
      </c>
      <c r="IA22">
        <v>2</v>
      </c>
      <c r="IB22">
        <v>2</v>
      </c>
      <c r="IC22">
        <v>2</v>
      </c>
      <c r="ID22">
        <v>1</v>
      </c>
      <c r="IE22">
        <v>1</v>
      </c>
      <c r="IF22">
        <v>1</v>
      </c>
      <c r="IG22">
        <v>1</v>
      </c>
      <c r="IH22">
        <v>2</v>
      </c>
      <c r="II22">
        <v>2</v>
      </c>
      <c r="IJ22" s="14">
        <f t="shared" si="33"/>
        <v>16</v>
      </c>
      <c r="IK22">
        <v>2</v>
      </c>
      <c r="IL22">
        <v>2</v>
      </c>
      <c r="IM22">
        <v>2</v>
      </c>
      <c r="IN22">
        <v>2</v>
      </c>
      <c r="IO22">
        <v>2</v>
      </c>
      <c r="IP22">
        <v>2</v>
      </c>
      <c r="IQ22" s="15">
        <f t="shared" si="34"/>
        <v>12</v>
      </c>
      <c r="IR22" s="15">
        <f t="shared" si="21"/>
        <v>2</v>
      </c>
      <c r="IS22">
        <v>3</v>
      </c>
      <c r="IT22">
        <v>2</v>
      </c>
      <c r="IU22">
        <v>2</v>
      </c>
      <c r="IV22">
        <v>2</v>
      </c>
      <c r="IW22">
        <v>2</v>
      </c>
      <c r="IX22">
        <v>2</v>
      </c>
      <c r="IY22">
        <v>1</v>
      </c>
      <c r="IZ22">
        <v>2</v>
      </c>
      <c r="JA22">
        <v>2</v>
      </c>
      <c r="JB22">
        <v>2</v>
      </c>
      <c r="JC22" s="16">
        <f t="shared" si="35"/>
        <v>20</v>
      </c>
    </row>
    <row r="23" spans="1:263" x14ac:dyDescent="0.25">
      <c r="A23" t="s">
        <v>70</v>
      </c>
      <c r="B23" s="48"/>
      <c r="C23" t="s">
        <v>56</v>
      </c>
      <c r="D23" t="s">
        <v>62</v>
      </c>
      <c r="E23" t="s">
        <v>62</v>
      </c>
      <c r="F23" t="s">
        <v>62</v>
      </c>
      <c r="G23" t="s">
        <v>56</v>
      </c>
      <c r="H23" t="s">
        <v>56</v>
      </c>
      <c r="I23" t="s">
        <v>56</v>
      </c>
      <c r="J23" t="s">
        <v>56</v>
      </c>
      <c r="K23" t="s">
        <v>56</v>
      </c>
      <c r="L23" t="s">
        <v>62</v>
      </c>
      <c r="M23" t="s">
        <v>62</v>
      </c>
      <c r="N23" t="s">
        <v>62</v>
      </c>
      <c r="O23" t="s">
        <v>62</v>
      </c>
      <c r="P23" t="s">
        <v>56</v>
      </c>
      <c r="Q23" s="1"/>
      <c r="R23" s="25">
        <v>3</v>
      </c>
      <c r="S23" s="25">
        <v>3</v>
      </c>
      <c r="T23" s="25">
        <v>3</v>
      </c>
      <c r="U23" s="25">
        <v>3</v>
      </c>
      <c r="V23" s="25">
        <v>3</v>
      </c>
      <c r="W23" s="6">
        <v>3</v>
      </c>
      <c r="X23" s="6">
        <v>3</v>
      </c>
      <c r="Y23" s="38">
        <v>3</v>
      </c>
      <c r="Z23" s="38">
        <v>3</v>
      </c>
      <c r="AA23" s="38">
        <v>0</v>
      </c>
      <c r="AB23" s="38">
        <v>3</v>
      </c>
      <c r="AC23" s="38">
        <v>3</v>
      </c>
      <c r="AD23" s="38">
        <v>3</v>
      </c>
      <c r="AE23" s="38">
        <v>3</v>
      </c>
      <c r="AF23" s="35">
        <v>3</v>
      </c>
      <c r="AG23" s="35">
        <v>0</v>
      </c>
      <c r="AH23" s="35">
        <v>3</v>
      </c>
      <c r="AI23" s="35">
        <v>3</v>
      </c>
      <c r="AJ23" s="35">
        <v>3</v>
      </c>
      <c r="AK23" s="35">
        <v>4</v>
      </c>
      <c r="AL23" s="12">
        <f t="shared" si="22"/>
        <v>55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3</v>
      </c>
      <c r="AV23">
        <v>3</v>
      </c>
      <c r="AW23">
        <v>3</v>
      </c>
      <c r="AX23">
        <v>1</v>
      </c>
      <c r="AY23">
        <v>3</v>
      </c>
      <c r="AZ23">
        <v>3</v>
      </c>
      <c r="BA23">
        <v>3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4</v>
      </c>
      <c r="BI23">
        <v>3</v>
      </c>
      <c r="BJ23">
        <v>2</v>
      </c>
      <c r="BK23">
        <v>3</v>
      </c>
      <c r="BL23">
        <v>3</v>
      </c>
      <c r="BM23">
        <v>1</v>
      </c>
      <c r="BN23">
        <v>2</v>
      </c>
      <c r="BO23">
        <v>3</v>
      </c>
      <c r="BP23">
        <v>1</v>
      </c>
      <c r="BQ23">
        <v>3</v>
      </c>
      <c r="BR23">
        <v>1</v>
      </c>
      <c r="BS23">
        <v>2</v>
      </c>
      <c r="BT23">
        <v>2</v>
      </c>
      <c r="BU23">
        <v>4</v>
      </c>
      <c r="BV23">
        <v>3</v>
      </c>
      <c r="BW23">
        <v>2</v>
      </c>
      <c r="BX23">
        <v>4</v>
      </c>
      <c r="BY23">
        <v>1</v>
      </c>
      <c r="BZ23">
        <v>1</v>
      </c>
      <c r="CA23" s="5">
        <f t="shared" si="23"/>
        <v>106</v>
      </c>
      <c r="CB23" s="5">
        <f t="shared" si="18"/>
        <v>2.65</v>
      </c>
      <c r="CC23" s="6">
        <v>1</v>
      </c>
      <c r="CD23">
        <v>1</v>
      </c>
      <c r="CE23">
        <v>0</v>
      </c>
      <c r="CF23">
        <v>1</v>
      </c>
      <c r="CG23">
        <v>1</v>
      </c>
      <c r="CH23" s="20">
        <v>0</v>
      </c>
      <c r="CI23" s="7">
        <f t="shared" si="24"/>
        <v>3</v>
      </c>
      <c r="CJ23">
        <v>3</v>
      </c>
      <c r="CK23">
        <v>2</v>
      </c>
      <c r="CL23">
        <v>2</v>
      </c>
      <c r="CM23">
        <v>2</v>
      </c>
      <c r="CN23">
        <v>2</v>
      </c>
      <c r="CO23">
        <v>3</v>
      </c>
      <c r="CP23">
        <v>3</v>
      </c>
      <c r="CQ23">
        <v>3</v>
      </c>
      <c r="CR23">
        <v>3</v>
      </c>
      <c r="CS23">
        <v>3</v>
      </c>
      <c r="CT23">
        <v>2</v>
      </c>
      <c r="CU23">
        <v>2</v>
      </c>
      <c r="CV23">
        <v>2</v>
      </c>
      <c r="CW23">
        <v>3</v>
      </c>
      <c r="CX23" s="13">
        <f t="shared" si="25"/>
        <v>42</v>
      </c>
      <c r="CY23">
        <v>2</v>
      </c>
      <c r="CZ23">
        <v>1</v>
      </c>
      <c r="DA23">
        <v>2</v>
      </c>
      <c r="DB23">
        <v>1</v>
      </c>
      <c r="DC23">
        <v>1</v>
      </c>
      <c r="DD23">
        <v>2</v>
      </c>
      <c r="DE23">
        <v>1</v>
      </c>
      <c r="DF23">
        <v>1</v>
      </c>
      <c r="DG23">
        <v>2</v>
      </c>
      <c r="DH23">
        <v>1</v>
      </c>
      <c r="DI23" s="14">
        <f t="shared" si="26"/>
        <v>14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 s="15">
        <f t="shared" si="27"/>
        <v>12</v>
      </c>
      <c r="DQ23" s="15">
        <f t="shared" si="19"/>
        <v>2</v>
      </c>
      <c r="DR23">
        <v>2</v>
      </c>
      <c r="DS23">
        <v>2</v>
      </c>
      <c r="DT23">
        <v>2</v>
      </c>
      <c r="DU23">
        <v>2</v>
      </c>
      <c r="DV23">
        <v>2</v>
      </c>
      <c r="DW23">
        <v>2</v>
      </c>
      <c r="DX23">
        <v>2</v>
      </c>
      <c r="DY23">
        <v>2</v>
      </c>
      <c r="DZ23">
        <v>2</v>
      </c>
      <c r="EA23">
        <v>2</v>
      </c>
      <c r="EB23" s="16">
        <f t="shared" si="28"/>
        <v>20</v>
      </c>
      <c r="ED23" t="s">
        <v>56</v>
      </c>
      <c r="EE23" t="s">
        <v>62</v>
      </c>
      <c r="EF23" t="s">
        <v>62</v>
      </c>
      <c r="EG23" t="s">
        <v>62</v>
      </c>
      <c r="EH23" t="s">
        <v>56</v>
      </c>
      <c r="EI23" t="s">
        <v>56</v>
      </c>
      <c r="EJ23" t="s">
        <v>56</v>
      </c>
      <c r="EK23" t="s">
        <v>56</v>
      </c>
      <c r="EL23" t="s">
        <v>56</v>
      </c>
      <c r="EM23" t="s">
        <v>62</v>
      </c>
      <c r="EN23" t="s">
        <v>62</v>
      </c>
      <c r="EO23" t="s">
        <v>62</v>
      </c>
      <c r="EP23" t="s">
        <v>62</v>
      </c>
      <c r="EQ23" t="s">
        <v>56</v>
      </c>
      <c r="ER23" s="1"/>
      <c r="ES23">
        <v>3</v>
      </c>
      <c r="ET23">
        <v>2</v>
      </c>
      <c r="EU23">
        <v>2</v>
      </c>
      <c r="EV23">
        <v>3</v>
      </c>
      <c r="EW23">
        <v>3</v>
      </c>
      <c r="EX23">
        <v>3</v>
      </c>
      <c r="EY23">
        <v>3</v>
      </c>
      <c r="EZ23">
        <v>3</v>
      </c>
      <c r="FA23">
        <v>0</v>
      </c>
      <c r="FB23">
        <v>3</v>
      </c>
      <c r="FC23">
        <v>3</v>
      </c>
      <c r="FD23">
        <v>3</v>
      </c>
      <c r="FE23">
        <v>3</v>
      </c>
      <c r="FF23">
        <v>3</v>
      </c>
      <c r="FG23">
        <v>3</v>
      </c>
      <c r="FH23">
        <v>0</v>
      </c>
      <c r="FI23">
        <v>3</v>
      </c>
      <c r="FJ23">
        <v>3</v>
      </c>
      <c r="FK23">
        <v>3</v>
      </c>
      <c r="FL23">
        <v>3</v>
      </c>
      <c r="FM23" s="12">
        <f t="shared" si="29"/>
        <v>52</v>
      </c>
      <c r="FN23">
        <v>3</v>
      </c>
      <c r="FO23">
        <v>3</v>
      </c>
      <c r="FP23">
        <v>3</v>
      </c>
      <c r="FQ23">
        <v>2</v>
      </c>
      <c r="FR23">
        <v>2</v>
      </c>
      <c r="FS23">
        <v>3</v>
      </c>
      <c r="FT23">
        <v>3</v>
      </c>
      <c r="FU23">
        <v>3</v>
      </c>
      <c r="FV23">
        <v>4</v>
      </c>
      <c r="FW23">
        <v>3</v>
      </c>
      <c r="FX23">
        <v>3</v>
      </c>
      <c r="FY23">
        <v>3</v>
      </c>
      <c r="FZ23">
        <v>1</v>
      </c>
      <c r="GA23">
        <v>1</v>
      </c>
      <c r="GB23">
        <v>1</v>
      </c>
      <c r="GC23">
        <v>3</v>
      </c>
      <c r="GD23">
        <v>3</v>
      </c>
      <c r="GE23">
        <v>3</v>
      </c>
      <c r="GF23">
        <v>2</v>
      </c>
      <c r="GG23">
        <v>3</v>
      </c>
      <c r="GH23">
        <v>3</v>
      </c>
      <c r="GI23">
        <v>3</v>
      </c>
      <c r="GJ23">
        <v>3</v>
      </c>
      <c r="GK23">
        <v>4</v>
      </c>
      <c r="GL23">
        <v>3</v>
      </c>
      <c r="GM23">
        <v>3</v>
      </c>
      <c r="GN23">
        <v>1</v>
      </c>
      <c r="GO23">
        <v>2</v>
      </c>
      <c r="GP23">
        <v>2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3</v>
      </c>
      <c r="GW23">
        <v>2</v>
      </c>
      <c r="GX23">
        <v>1</v>
      </c>
      <c r="GY23">
        <v>3</v>
      </c>
      <c r="GZ23">
        <v>1</v>
      </c>
      <c r="HA23">
        <v>1</v>
      </c>
      <c r="HB23" s="5">
        <f t="shared" si="30"/>
        <v>92</v>
      </c>
      <c r="HC23" s="5">
        <f t="shared" si="20"/>
        <v>2.2999999999999998</v>
      </c>
      <c r="HD23" s="6">
        <v>1</v>
      </c>
      <c r="HE23">
        <v>1</v>
      </c>
      <c r="HF23">
        <v>0</v>
      </c>
      <c r="HG23">
        <v>0</v>
      </c>
      <c r="HH23">
        <v>0</v>
      </c>
      <c r="HI23">
        <v>0</v>
      </c>
      <c r="HJ23" s="7">
        <f t="shared" si="31"/>
        <v>1</v>
      </c>
      <c r="HK23">
        <v>3</v>
      </c>
      <c r="HL23">
        <v>3</v>
      </c>
      <c r="HM23">
        <v>3</v>
      </c>
      <c r="HN23">
        <v>3</v>
      </c>
      <c r="HO23">
        <v>2</v>
      </c>
      <c r="HP23">
        <v>2</v>
      </c>
      <c r="HQ23">
        <v>2</v>
      </c>
      <c r="HR23">
        <v>2</v>
      </c>
      <c r="HS23">
        <v>3</v>
      </c>
      <c r="HT23">
        <v>3</v>
      </c>
      <c r="HU23">
        <v>3</v>
      </c>
      <c r="HV23">
        <v>3</v>
      </c>
      <c r="HW23">
        <v>3</v>
      </c>
      <c r="HX23">
        <v>2</v>
      </c>
      <c r="HY23" s="13">
        <f>SUM(HK23:HX23)</f>
        <v>37</v>
      </c>
      <c r="HZ23">
        <v>1</v>
      </c>
      <c r="IA23">
        <v>2</v>
      </c>
      <c r="IB23">
        <v>2</v>
      </c>
      <c r="IC23">
        <v>1</v>
      </c>
      <c r="ID23">
        <v>1</v>
      </c>
      <c r="IE23">
        <v>2</v>
      </c>
      <c r="IF23">
        <v>2</v>
      </c>
      <c r="IG23">
        <v>2</v>
      </c>
      <c r="IH23">
        <v>2</v>
      </c>
      <c r="II23">
        <v>1</v>
      </c>
      <c r="IJ23" s="14">
        <f t="shared" si="33"/>
        <v>16</v>
      </c>
      <c r="IK23">
        <v>2</v>
      </c>
      <c r="IL23">
        <v>2</v>
      </c>
      <c r="IM23">
        <v>2</v>
      </c>
      <c r="IN23">
        <v>2</v>
      </c>
      <c r="IO23">
        <v>2</v>
      </c>
      <c r="IP23">
        <v>2</v>
      </c>
      <c r="IQ23" s="15">
        <f t="shared" si="34"/>
        <v>12</v>
      </c>
      <c r="IR23" s="15">
        <f t="shared" si="21"/>
        <v>2</v>
      </c>
      <c r="IS23">
        <v>3</v>
      </c>
      <c r="IT23">
        <v>3</v>
      </c>
      <c r="IU23">
        <v>2</v>
      </c>
      <c r="IV23">
        <v>3</v>
      </c>
      <c r="IW23">
        <v>3</v>
      </c>
      <c r="IX23">
        <v>2</v>
      </c>
      <c r="IY23">
        <v>2</v>
      </c>
      <c r="IZ23">
        <v>2</v>
      </c>
      <c r="JA23">
        <v>2</v>
      </c>
      <c r="JB23">
        <v>3</v>
      </c>
      <c r="JC23" s="16">
        <f t="shared" si="35"/>
        <v>25</v>
      </c>
    </row>
    <row r="24" spans="1:263" x14ac:dyDescent="0.25">
      <c r="A24" t="s">
        <v>71</v>
      </c>
      <c r="B24" s="48"/>
      <c r="C24" t="s">
        <v>56</v>
      </c>
      <c r="D24" t="s">
        <v>62</v>
      </c>
      <c r="E24" t="s">
        <v>62</v>
      </c>
      <c r="F24" t="s">
        <v>62</v>
      </c>
      <c r="G24" t="s">
        <v>62</v>
      </c>
      <c r="H24" t="s">
        <v>56</v>
      </c>
      <c r="I24" t="s">
        <v>56</v>
      </c>
      <c r="J24" t="s">
        <v>56</v>
      </c>
      <c r="K24" t="s">
        <v>56</v>
      </c>
      <c r="L24" t="s">
        <v>62</v>
      </c>
      <c r="M24" t="s">
        <v>56</v>
      </c>
      <c r="N24" t="s">
        <v>62</v>
      </c>
      <c r="O24" t="s">
        <v>62</v>
      </c>
      <c r="P24" t="s">
        <v>56</v>
      </c>
      <c r="Q24" s="1"/>
      <c r="R24" s="25">
        <v>3</v>
      </c>
      <c r="S24" s="25">
        <v>3</v>
      </c>
      <c r="T24" s="25">
        <v>3</v>
      </c>
      <c r="U24" s="25">
        <v>3</v>
      </c>
      <c r="V24" s="25">
        <v>3</v>
      </c>
      <c r="W24" s="6">
        <v>3</v>
      </c>
      <c r="X24" s="6">
        <v>3</v>
      </c>
      <c r="Y24" s="38">
        <v>3</v>
      </c>
      <c r="Z24" s="38">
        <v>4</v>
      </c>
      <c r="AA24" s="38">
        <v>3</v>
      </c>
      <c r="AB24" s="38">
        <v>3</v>
      </c>
      <c r="AC24" s="38">
        <v>3</v>
      </c>
      <c r="AD24" s="38">
        <v>2</v>
      </c>
      <c r="AE24" s="38">
        <v>3</v>
      </c>
      <c r="AF24" s="35">
        <v>3</v>
      </c>
      <c r="AG24" s="35">
        <v>1</v>
      </c>
      <c r="AH24" s="35">
        <v>2</v>
      </c>
      <c r="AI24" s="35">
        <v>3</v>
      </c>
      <c r="AJ24" s="35">
        <v>3</v>
      </c>
      <c r="AK24" s="35">
        <v>1</v>
      </c>
      <c r="AL24" s="12">
        <f t="shared" si="22"/>
        <v>55</v>
      </c>
      <c r="AM24">
        <v>2</v>
      </c>
      <c r="AN24">
        <v>1</v>
      </c>
      <c r="AO24">
        <v>3</v>
      </c>
      <c r="AP24">
        <v>2</v>
      </c>
      <c r="AQ24">
        <v>2</v>
      </c>
      <c r="AR24">
        <v>3</v>
      </c>
      <c r="AS24">
        <v>3</v>
      </c>
      <c r="AT24">
        <v>2</v>
      </c>
      <c r="AU24">
        <v>2</v>
      </c>
      <c r="AV24">
        <v>3</v>
      </c>
      <c r="AW24">
        <v>2</v>
      </c>
      <c r="AX24">
        <v>2</v>
      </c>
      <c r="AY24">
        <v>3</v>
      </c>
      <c r="AZ24">
        <v>3</v>
      </c>
      <c r="BA24">
        <v>3</v>
      </c>
      <c r="BB24">
        <v>3</v>
      </c>
      <c r="BC24">
        <v>2</v>
      </c>
      <c r="BD24">
        <v>2</v>
      </c>
      <c r="BE24">
        <v>2</v>
      </c>
      <c r="BF24">
        <v>3</v>
      </c>
      <c r="BG24">
        <v>2</v>
      </c>
      <c r="BH24">
        <v>3</v>
      </c>
      <c r="BI24">
        <v>2</v>
      </c>
      <c r="BJ24">
        <v>3</v>
      </c>
      <c r="BK24">
        <v>3</v>
      </c>
      <c r="BL24">
        <v>3</v>
      </c>
      <c r="BM24">
        <v>1</v>
      </c>
      <c r="BN24">
        <v>2</v>
      </c>
      <c r="BO24">
        <v>3</v>
      </c>
      <c r="BP24">
        <v>1</v>
      </c>
      <c r="BQ24">
        <v>3</v>
      </c>
      <c r="BR24">
        <v>2</v>
      </c>
      <c r="BS24">
        <v>2</v>
      </c>
      <c r="BT24">
        <v>1</v>
      </c>
      <c r="BU24">
        <v>4</v>
      </c>
      <c r="BV24">
        <v>3</v>
      </c>
      <c r="BW24">
        <v>2</v>
      </c>
      <c r="BX24">
        <v>3</v>
      </c>
      <c r="BY24">
        <v>1</v>
      </c>
      <c r="BZ24">
        <v>1</v>
      </c>
      <c r="CA24" s="5">
        <f t="shared" si="23"/>
        <v>93</v>
      </c>
      <c r="CB24" s="5">
        <f t="shared" si="18"/>
        <v>2.3250000000000002</v>
      </c>
      <c r="CC24" s="6">
        <v>1</v>
      </c>
      <c r="CD24">
        <v>1</v>
      </c>
      <c r="CE24">
        <v>1</v>
      </c>
      <c r="CF24">
        <v>0</v>
      </c>
      <c r="CG24">
        <v>0</v>
      </c>
      <c r="CH24" s="20">
        <v>0</v>
      </c>
      <c r="CI24" s="7">
        <f t="shared" si="24"/>
        <v>2</v>
      </c>
      <c r="CJ24">
        <v>3</v>
      </c>
      <c r="CK24">
        <v>3</v>
      </c>
      <c r="CL24">
        <v>2</v>
      </c>
      <c r="CM24">
        <v>2</v>
      </c>
      <c r="CN24">
        <v>4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2</v>
      </c>
      <c r="CV24">
        <v>3</v>
      </c>
      <c r="CW24">
        <v>2</v>
      </c>
      <c r="CX24" s="13">
        <f t="shared" si="25"/>
        <v>44</v>
      </c>
      <c r="CY24">
        <v>1</v>
      </c>
      <c r="CZ24">
        <v>2</v>
      </c>
      <c r="DA24">
        <v>2</v>
      </c>
      <c r="DB24">
        <v>0</v>
      </c>
      <c r="DC24">
        <v>0</v>
      </c>
      <c r="DD24">
        <v>1</v>
      </c>
      <c r="DE24">
        <v>1</v>
      </c>
      <c r="DF24">
        <v>2</v>
      </c>
      <c r="DG24">
        <v>2</v>
      </c>
      <c r="DH24">
        <v>2</v>
      </c>
      <c r="DI24" s="14">
        <f t="shared" si="26"/>
        <v>13</v>
      </c>
      <c r="DJ24">
        <v>2</v>
      </c>
      <c r="DK24">
        <v>2</v>
      </c>
      <c r="DL24">
        <v>4</v>
      </c>
      <c r="DM24">
        <v>2</v>
      </c>
      <c r="DN24">
        <v>2</v>
      </c>
      <c r="DO24">
        <v>2</v>
      </c>
      <c r="DP24" s="15">
        <f t="shared" si="27"/>
        <v>14</v>
      </c>
      <c r="DQ24" s="15">
        <f t="shared" si="19"/>
        <v>2.3333333333333335</v>
      </c>
      <c r="DR24">
        <v>3</v>
      </c>
      <c r="DS24">
        <v>3</v>
      </c>
      <c r="DT24">
        <v>2</v>
      </c>
      <c r="DU24">
        <v>3</v>
      </c>
      <c r="DV24">
        <v>2</v>
      </c>
      <c r="DW24">
        <v>2</v>
      </c>
      <c r="DX24">
        <v>2</v>
      </c>
      <c r="DY24">
        <v>2</v>
      </c>
      <c r="DZ24">
        <v>3</v>
      </c>
      <c r="EA24">
        <v>2</v>
      </c>
      <c r="EB24" s="16">
        <f t="shared" si="28"/>
        <v>24</v>
      </c>
      <c r="ED24" t="s">
        <v>56</v>
      </c>
      <c r="EE24" t="s">
        <v>62</v>
      </c>
      <c r="EF24" t="s">
        <v>62</v>
      </c>
      <c r="EG24" t="s">
        <v>62</v>
      </c>
      <c r="EH24" t="s">
        <v>56</v>
      </c>
      <c r="EI24" t="s">
        <v>56</v>
      </c>
      <c r="EJ24" t="s">
        <v>56</v>
      </c>
      <c r="EK24" t="s">
        <v>56</v>
      </c>
      <c r="EL24" t="s">
        <v>56</v>
      </c>
      <c r="EM24" t="s">
        <v>62</v>
      </c>
      <c r="EN24" t="s">
        <v>62</v>
      </c>
      <c r="EO24" t="s">
        <v>62</v>
      </c>
      <c r="EP24" t="s">
        <v>62</v>
      </c>
      <c r="EQ24" t="s">
        <v>56</v>
      </c>
      <c r="ER24" s="1"/>
      <c r="ES24">
        <v>3</v>
      </c>
      <c r="ET24">
        <v>3</v>
      </c>
      <c r="EU24">
        <v>3</v>
      </c>
      <c r="EV24">
        <v>3</v>
      </c>
      <c r="EW24">
        <v>3</v>
      </c>
      <c r="EX24">
        <v>3</v>
      </c>
      <c r="EY24">
        <v>3</v>
      </c>
      <c r="EZ24">
        <v>0</v>
      </c>
      <c r="FA24">
        <v>2</v>
      </c>
      <c r="FB24">
        <v>2</v>
      </c>
      <c r="FC24">
        <v>3</v>
      </c>
      <c r="FD24">
        <v>3</v>
      </c>
      <c r="FE24">
        <v>2</v>
      </c>
      <c r="FF24">
        <v>3</v>
      </c>
      <c r="FG24">
        <v>3</v>
      </c>
      <c r="FH24">
        <v>0</v>
      </c>
      <c r="FI24">
        <v>3</v>
      </c>
      <c r="FJ24">
        <v>3</v>
      </c>
      <c r="FK24">
        <v>3</v>
      </c>
      <c r="FL24">
        <v>0</v>
      </c>
      <c r="FM24" s="12">
        <f t="shared" si="29"/>
        <v>48</v>
      </c>
      <c r="FN24">
        <v>3</v>
      </c>
      <c r="FO24">
        <v>1</v>
      </c>
      <c r="FP24">
        <v>2</v>
      </c>
      <c r="FQ24">
        <v>3</v>
      </c>
      <c r="FR24">
        <v>3</v>
      </c>
      <c r="FS24">
        <v>2</v>
      </c>
      <c r="FT24">
        <v>2</v>
      </c>
      <c r="FU24">
        <v>1</v>
      </c>
      <c r="FV24">
        <v>3</v>
      </c>
      <c r="FW24">
        <v>3</v>
      </c>
      <c r="FX24">
        <v>2</v>
      </c>
      <c r="FY24">
        <v>3</v>
      </c>
      <c r="FZ24">
        <v>2</v>
      </c>
      <c r="GA24">
        <v>3</v>
      </c>
      <c r="GB24">
        <v>3</v>
      </c>
      <c r="GC24">
        <v>2</v>
      </c>
      <c r="GD24">
        <v>2</v>
      </c>
      <c r="GE24">
        <v>2</v>
      </c>
      <c r="GF24">
        <v>2</v>
      </c>
      <c r="GG24">
        <v>3</v>
      </c>
      <c r="GH24">
        <v>2</v>
      </c>
      <c r="GI24">
        <v>3</v>
      </c>
      <c r="GJ24">
        <v>3</v>
      </c>
      <c r="GK24">
        <v>3</v>
      </c>
      <c r="GL24">
        <v>3</v>
      </c>
      <c r="GM24">
        <v>1</v>
      </c>
      <c r="GN24">
        <v>1</v>
      </c>
      <c r="GO24">
        <v>2</v>
      </c>
      <c r="GP24">
        <v>3</v>
      </c>
      <c r="GQ24">
        <v>2</v>
      </c>
      <c r="GR24">
        <v>3</v>
      </c>
      <c r="GS24">
        <v>2</v>
      </c>
      <c r="GT24">
        <v>2</v>
      </c>
      <c r="GU24">
        <v>1</v>
      </c>
      <c r="GV24">
        <v>2</v>
      </c>
      <c r="GW24">
        <v>3</v>
      </c>
      <c r="GX24">
        <v>2</v>
      </c>
      <c r="GY24">
        <v>3</v>
      </c>
      <c r="GZ24">
        <v>1</v>
      </c>
      <c r="HA24">
        <v>1</v>
      </c>
      <c r="HB24" s="5">
        <f t="shared" si="30"/>
        <v>90</v>
      </c>
      <c r="HC24" s="5">
        <f t="shared" si="20"/>
        <v>2.25</v>
      </c>
      <c r="HD24" s="6">
        <v>1</v>
      </c>
      <c r="HE24">
        <v>0</v>
      </c>
      <c r="HF24">
        <v>0</v>
      </c>
      <c r="HG24">
        <v>0</v>
      </c>
      <c r="HH24">
        <v>0</v>
      </c>
      <c r="HI24">
        <v>0</v>
      </c>
      <c r="HJ24" s="7">
        <f t="shared" si="31"/>
        <v>0</v>
      </c>
      <c r="HK24">
        <v>3</v>
      </c>
      <c r="HL24">
        <v>3</v>
      </c>
      <c r="HM24">
        <v>3</v>
      </c>
      <c r="HN24">
        <v>3</v>
      </c>
      <c r="HO24">
        <v>3</v>
      </c>
      <c r="HP24">
        <v>3</v>
      </c>
      <c r="HQ24">
        <v>3</v>
      </c>
      <c r="HR24">
        <v>3</v>
      </c>
      <c r="HS24">
        <v>3</v>
      </c>
      <c r="HT24">
        <v>3</v>
      </c>
      <c r="HU24">
        <v>2</v>
      </c>
      <c r="HV24">
        <v>1</v>
      </c>
      <c r="HW24">
        <v>2</v>
      </c>
      <c r="HX24">
        <v>2</v>
      </c>
      <c r="HY24" s="13">
        <f t="shared" si="32"/>
        <v>37</v>
      </c>
      <c r="HZ24">
        <v>2</v>
      </c>
      <c r="IA24">
        <v>2</v>
      </c>
      <c r="IB24">
        <v>2</v>
      </c>
      <c r="IC24">
        <v>1</v>
      </c>
      <c r="ID24">
        <v>2</v>
      </c>
      <c r="IE24">
        <v>1</v>
      </c>
      <c r="IF24">
        <v>2</v>
      </c>
      <c r="IG24">
        <v>1</v>
      </c>
      <c r="IH24">
        <v>2</v>
      </c>
      <c r="II24">
        <v>2</v>
      </c>
      <c r="IJ24" s="14">
        <f t="shared" si="33"/>
        <v>17</v>
      </c>
      <c r="IK24">
        <v>2</v>
      </c>
      <c r="IL24">
        <v>2</v>
      </c>
      <c r="IM24">
        <v>2</v>
      </c>
      <c r="IN24">
        <v>2</v>
      </c>
      <c r="IO24">
        <v>2</v>
      </c>
      <c r="IP24">
        <v>2</v>
      </c>
      <c r="IQ24" s="15">
        <f t="shared" si="34"/>
        <v>12</v>
      </c>
      <c r="IR24" s="15">
        <f t="shared" si="21"/>
        <v>2</v>
      </c>
      <c r="IS24">
        <v>3</v>
      </c>
      <c r="IT24">
        <v>2</v>
      </c>
      <c r="IU24">
        <v>2</v>
      </c>
      <c r="IV24">
        <v>2</v>
      </c>
      <c r="IW24">
        <v>2</v>
      </c>
      <c r="IX24">
        <v>2</v>
      </c>
      <c r="IY24">
        <v>2</v>
      </c>
      <c r="IZ24">
        <v>3</v>
      </c>
      <c r="JA24">
        <v>3</v>
      </c>
      <c r="JB24">
        <v>2</v>
      </c>
      <c r="JC24" s="16">
        <f t="shared" si="35"/>
        <v>23</v>
      </c>
    </row>
    <row r="25" spans="1:263" x14ac:dyDescent="0.25">
      <c r="A25" t="s">
        <v>72</v>
      </c>
      <c r="B25" s="48"/>
      <c r="C25">
        <v>1</v>
      </c>
      <c r="D25">
        <v>1</v>
      </c>
      <c r="E25">
        <v>2</v>
      </c>
      <c r="F25">
        <v>2</v>
      </c>
      <c r="G25">
        <v>1</v>
      </c>
      <c r="H25">
        <v>1</v>
      </c>
      <c r="I25">
        <v>3</v>
      </c>
      <c r="J25">
        <v>3</v>
      </c>
      <c r="K25">
        <v>5</v>
      </c>
      <c r="L25">
        <v>1</v>
      </c>
      <c r="M25">
        <v>3</v>
      </c>
      <c r="N25">
        <v>6</v>
      </c>
      <c r="O25">
        <v>2</v>
      </c>
      <c r="P25">
        <v>3</v>
      </c>
      <c r="Q25" s="1"/>
      <c r="R25" s="25">
        <v>2</v>
      </c>
      <c r="S25" s="25">
        <v>3</v>
      </c>
      <c r="T25" s="25">
        <v>1</v>
      </c>
      <c r="U25" s="25">
        <v>3</v>
      </c>
      <c r="V25" s="25">
        <v>2</v>
      </c>
      <c r="W25" s="6">
        <v>2</v>
      </c>
      <c r="X25" s="6">
        <v>2</v>
      </c>
      <c r="Y25" s="38">
        <v>1</v>
      </c>
      <c r="Z25" s="38">
        <v>1</v>
      </c>
      <c r="AA25" s="38">
        <v>0</v>
      </c>
      <c r="AB25" s="38">
        <v>3</v>
      </c>
      <c r="AC25" s="38">
        <v>2</v>
      </c>
      <c r="AD25" s="38">
        <v>1</v>
      </c>
      <c r="AE25" s="38">
        <v>2</v>
      </c>
      <c r="AF25" s="35">
        <v>1</v>
      </c>
      <c r="AG25" s="35">
        <v>0</v>
      </c>
      <c r="AH25" s="35">
        <v>1</v>
      </c>
      <c r="AI25" s="35">
        <v>3</v>
      </c>
      <c r="AJ25" s="35">
        <v>3</v>
      </c>
      <c r="AK25" s="35">
        <v>3</v>
      </c>
      <c r="AL25" s="12">
        <f t="shared" si="22"/>
        <v>36</v>
      </c>
      <c r="AM25">
        <v>3</v>
      </c>
      <c r="AN25">
        <v>2</v>
      </c>
      <c r="AO25">
        <v>2</v>
      </c>
      <c r="AP25">
        <v>2</v>
      </c>
      <c r="AQ25">
        <v>1</v>
      </c>
      <c r="AR25">
        <v>3</v>
      </c>
      <c r="AS25">
        <v>2</v>
      </c>
      <c r="AT25">
        <v>3</v>
      </c>
      <c r="AU25">
        <v>2</v>
      </c>
      <c r="AV25">
        <v>1</v>
      </c>
      <c r="AW25">
        <v>2</v>
      </c>
      <c r="AX25">
        <v>3</v>
      </c>
      <c r="AY25">
        <v>3</v>
      </c>
      <c r="AZ25">
        <v>4</v>
      </c>
      <c r="BA25">
        <v>1</v>
      </c>
      <c r="BB25">
        <v>2</v>
      </c>
      <c r="BC25">
        <v>3</v>
      </c>
      <c r="BD25">
        <v>3</v>
      </c>
      <c r="BE25">
        <v>3</v>
      </c>
      <c r="BF25">
        <v>4</v>
      </c>
      <c r="BG25">
        <v>4</v>
      </c>
      <c r="BH25">
        <v>4</v>
      </c>
      <c r="BI25">
        <v>4</v>
      </c>
      <c r="BJ25">
        <v>3</v>
      </c>
      <c r="BK25">
        <v>2</v>
      </c>
      <c r="BL25">
        <v>3</v>
      </c>
      <c r="BM25">
        <v>1</v>
      </c>
      <c r="BN25">
        <v>2</v>
      </c>
      <c r="BO25">
        <v>3</v>
      </c>
      <c r="BP25">
        <v>3</v>
      </c>
      <c r="BQ25">
        <v>2</v>
      </c>
      <c r="BR25">
        <v>1</v>
      </c>
      <c r="BS25">
        <v>2</v>
      </c>
      <c r="BT25">
        <v>1</v>
      </c>
      <c r="BU25">
        <v>3</v>
      </c>
      <c r="BV25">
        <v>1</v>
      </c>
      <c r="BW25">
        <v>2</v>
      </c>
      <c r="BX25">
        <v>3</v>
      </c>
      <c r="BY25">
        <v>1</v>
      </c>
      <c r="BZ25">
        <v>1</v>
      </c>
      <c r="CA25" s="5">
        <f t="shared" si="23"/>
        <v>95</v>
      </c>
      <c r="CB25" s="5">
        <f t="shared" si="18"/>
        <v>2.375</v>
      </c>
      <c r="CC25" s="6">
        <v>1</v>
      </c>
      <c r="CD25">
        <v>1</v>
      </c>
      <c r="CE25">
        <v>1</v>
      </c>
      <c r="CF25">
        <v>1</v>
      </c>
      <c r="CG25">
        <v>1</v>
      </c>
      <c r="CH25" s="20">
        <v>0</v>
      </c>
      <c r="CI25" s="7">
        <f t="shared" si="24"/>
        <v>4</v>
      </c>
      <c r="CJ25">
        <v>2</v>
      </c>
      <c r="CK25">
        <v>2</v>
      </c>
      <c r="CL25">
        <v>1</v>
      </c>
      <c r="CM25">
        <v>3</v>
      </c>
      <c r="CN25">
        <v>1</v>
      </c>
      <c r="CO25">
        <v>1</v>
      </c>
      <c r="CP25">
        <v>2</v>
      </c>
      <c r="CQ25">
        <v>2</v>
      </c>
      <c r="CR25">
        <v>4</v>
      </c>
      <c r="CS25">
        <v>2</v>
      </c>
      <c r="CT25">
        <v>2</v>
      </c>
      <c r="CU25">
        <v>4</v>
      </c>
      <c r="CV25">
        <v>2</v>
      </c>
      <c r="CW25">
        <v>2</v>
      </c>
      <c r="CX25" s="13">
        <f t="shared" si="25"/>
        <v>39</v>
      </c>
      <c r="CY25">
        <v>1</v>
      </c>
      <c r="CZ25">
        <v>1</v>
      </c>
      <c r="DA25">
        <v>2</v>
      </c>
      <c r="DB25">
        <v>1</v>
      </c>
      <c r="DC25">
        <v>1</v>
      </c>
      <c r="DD25">
        <v>1</v>
      </c>
      <c r="DE25">
        <v>2</v>
      </c>
      <c r="DF25">
        <v>1</v>
      </c>
      <c r="DG25">
        <v>1</v>
      </c>
      <c r="DH25">
        <v>1</v>
      </c>
      <c r="DI25" s="14">
        <f t="shared" si="26"/>
        <v>12</v>
      </c>
      <c r="DJ25">
        <v>1</v>
      </c>
      <c r="DK25">
        <v>1</v>
      </c>
      <c r="DL25">
        <v>1</v>
      </c>
      <c r="DM25">
        <v>1</v>
      </c>
      <c r="DN25">
        <v>5</v>
      </c>
      <c r="DO25">
        <v>5</v>
      </c>
      <c r="DP25" s="15">
        <f t="shared" si="27"/>
        <v>14</v>
      </c>
      <c r="DQ25" s="15">
        <f t="shared" si="19"/>
        <v>2.3333333333333335</v>
      </c>
      <c r="DR25">
        <v>2</v>
      </c>
      <c r="DS25">
        <v>2</v>
      </c>
      <c r="DT25">
        <v>2</v>
      </c>
      <c r="DU25">
        <v>2</v>
      </c>
      <c r="DV25">
        <v>1</v>
      </c>
      <c r="DW25">
        <v>2</v>
      </c>
      <c r="DX25">
        <v>1</v>
      </c>
      <c r="DY25">
        <v>2</v>
      </c>
      <c r="DZ25">
        <v>2</v>
      </c>
      <c r="EA25">
        <v>1</v>
      </c>
      <c r="EB25" s="16">
        <f t="shared" si="28"/>
        <v>17</v>
      </c>
      <c r="ED25">
        <v>1</v>
      </c>
      <c r="EE25">
        <v>1</v>
      </c>
      <c r="EF25">
        <v>3</v>
      </c>
      <c r="EG25">
        <v>3</v>
      </c>
      <c r="EH25">
        <v>1</v>
      </c>
      <c r="EI25">
        <v>3</v>
      </c>
      <c r="EJ25">
        <v>3</v>
      </c>
      <c r="EK25">
        <v>2</v>
      </c>
      <c r="EL25">
        <v>5</v>
      </c>
      <c r="EM25">
        <v>1</v>
      </c>
      <c r="EN25">
        <v>3</v>
      </c>
      <c r="EO25">
        <v>6</v>
      </c>
      <c r="EP25">
        <v>1</v>
      </c>
      <c r="EQ25">
        <v>3</v>
      </c>
      <c r="ER25" s="1"/>
      <c r="ES25">
        <v>2</v>
      </c>
      <c r="ET25">
        <v>2</v>
      </c>
      <c r="EU25">
        <v>2</v>
      </c>
      <c r="EV25">
        <v>2</v>
      </c>
      <c r="EW25">
        <v>2</v>
      </c>
      <c r="EX25">
        <v>1</v>
      </c>
      <c r="EY25">
        <v>1</v>
      </c>
      <c r="EZ25">
        <v>2</v>
      </c>
      <c r="FA25">
        <v>1</v>
      </c>
      <c r="FB25">
        <v>0</v>
      </c>
      <c r="FC25">
        <v>2</v>
      </c>
      <c r="FD25">
        <v>2</v>
      </c>
      <c r="FE25">
        <v>1</v>
      </c>
      <c r="FF25">
        <v>1</v>
      </c>
      <c r="FG25">
        <v>0</v>
      </c>
      <c r="FH25">
        <v>0</v>
      </c>
      <c r="FI25">
        <v>0</v>
      </c>
      <c r="FJ25">
        <v>2</v>
      </c>
      <c r="FK25">
        <v>2</v>
      </c>
      <c r="FL25">
        <v>2</v>
      </c>
      <c r="FM25" s="12">
        <f t="shared" si="29"/>
        <v>27</v>
      </c>
      <c r="FN25">
        <v>3</v>
      </c>
      <c r="FO25">
        <v>2</v>
      </c>
      <c r="FP25">
        <v>3</v>
      </c>
      <c r="FQ25">
        <v>2</v>
      </c>
      <c r="FR25">
        <v>1</v>
      </c>
      <c r="FS25">
        <v>3</v>
      </c>
      <c r="FT25">
        <v>3</v>
      </c>
      <c r="FU25">
        <v>3</v>
      </c>
      <c r="FV25">
        <v>2</v>
      </c>
      <c r="FW25">
        <v>1</v>
      </c>
      <c r="FX25">
        <v>2</v>
      </c>
      <c r="FY25">
        <v>2</v>
      </c>
      <c r="FZ25">
        <v>3</v>
      </c>
      <c r="GA25">
        <v>3</v>
      </c>
      <c r="GB25">
        <v>2</v>
      </c>
      <c r="GC25">
        <v>2</v>
      </c>
      <c r="GD25">
        <v>3</v>
      </c>
      <c r="GE25">
        <v>2</v>
      </c>
      <c r="GF25">
        <v>3</v>
      </c>
      <c r="GG25">
        <v>3</v>
      </c>
      <c r="GH25">
        <v>2</v>
      </c>
      <c r="GI25">
        <v>2</v>
      </c>
      <c r="GJ25">
        <v>1</v>
      </c>
      <c r="GK25">
        <v>2</v>
      </c>
      <c r="GL25">
        <v>1</v>
      </c>
      <c r="GM25">
        <v>2</v>
      </c>
      <c r="GN25">
        <v>1</v>
      </c>
      <c r="GO25">
        <v>2</v>
      </c>
      <c r="GP25">
        <v>2</v>
      </c>
      <c r="GQ25">
        <v>2</v>
      </c>
      <c r="GR25">
        <v>1</v>
      </c>
      <c r="GS25">
        <v>1</v>
      </c>
      <c r="GT25">
        <v>1</v>
      </c>
      <c r="GU25">
        <v>1</v>
      </c>
      <c r="GV25">
        <v>2</v>
      </c>
      <c r="GW25">
        <v>1</v>
      </c>
      <c r="GX25">
        <v>2</v>
      </c>
      <c r="GY25">
        <v>2</v>
      </c>
      <c r="GZ25">
        <v>1</v>
      </c>
      <c r="HA25">
        <v>1</v>
      </c>
      <c r="HB25" s="5">
        <f t="shared" si="30"/>
        <v>78</v>
      </c>
      <c r="HC25" s="5">
        <f t="shared" si="20"/>
        <v>1.95</v>
      </c>
      <c r="HD25" s="6">
        <v>1</v>
      </c>
      <c r="HE25">
        <v>1</v>
      </c>
      <c r="HF25">
        <v>1</v>
      </c>
      <c r="HG25">
        <v>0</v>
      </c>
      <c r="HH25">
        <v>0</v>
      </c>
      <c r="HI25">
        <v>0</v>
      </c>
      <c r="HJ25" s="7">
        <f t="shared" si="31"/>
        <v>2</v>
      </c>
      <c r="HK25">
        <v>3</v>
      </c>
      <c r="HL25">
        <v>2</v>
      </c>
      <c r="HM25">
        <v>1</v>
      </c>
      <c r="HN25">
        <v>4</v>
      </c>
      <c r="HO25">
        <v>2</v>
      </c>
      <c r="HP25">
        <v>2</v>
      </c>
      <c r="HQ25">
        <v>2</v>
      </c>
      <c r="HR25">
        <v>2</v>
      </c>
      <c r="HS25">
        <v>4</v>
      </c>
      <c r="HT25">
        <v>2</v>
      </c>
      <c r="HU25">
        <v>2</v>
      </c>
      <c r="HV25">
        <v>3</v>
      </c>
      <c r="HW25">
        <v>1</v>
      </c>
      <c r="HX25">
        <v>2</v>
      </c>
      <c r="HY25" s="13">
        <f t="shared" si="32"/>
        <v>32</v>
      </c>
      <c r="HZ25">
        <v>2</v>
      </c>
      <c r="IA25">
        <v>2</v>
      </c>
      <c r="IB25">
        <v>1</v>
      </c>
      <c r="IC25">
        <v>1</v>
      </c>
      <c r="ID25">
        <v>1</v>
      </c>
      <c r="IE25">
        <v>1</v>
      </c>
      <c r="IF25">
        <v>2</v>
      </c>
      <c r="IG25">
        <v>2</v>
      </c>
      <c r="IH25">
        <v>1</v>
      </c>
      <c r="II25">
        <v>2</v>
      </c>
      <c r="IJ25" s="14">
        <f t="shared" si="33"/>
        <v>15</v>
      </c>
      <c r="IK25">
        <v>2</v>
      </c>
      <c r="IL25">
        <v>2</v>
      </c>
      <c r="IM25">
        <v>2</v>
      </c>
      <c r="IN25">
        <v>2</v>
      </c>
      <c r="IO25">
        <v>2</v>
      </c>
      <c r="IP25">
        <v>2</v>
      </c>
      <c r="IQ25" s="15">
        <f t="shared" si="34"/>
        <v>12</v>
      </c>
      <c r="IR25" s="15">
        <f t="shared" si="21"/>
        <v>2</v>
      </c>
      <c r="IS25">
        <v>2</v>
      </c>
      <c r="IT25">
        <v>2</v>
      </c>
      <c r="IU25">
        <v>2</v>
      </c>
      <c r="IV25">
        <v>2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2</v>
      </c>
      <c r="JC25" s="16">
        <f t="shared" si="35"/>
        <v>15</v>
      </c>
    </row>
    <row r="26" spans="1:263" x14ac:dyDescent="0.25">
      <c r="A26" t="s">
        <v>73</v>
      </c>
      <c r="B26" s="48"/>
      <c r="C26">
        <v>2</v>
      </c>
      <c r="D26">
        <v>2</v>
      </c>
      <c r="E26">
        <v>2</v>
      </c>
      <c r="F26">
        <v>2</v>
      </c>
      <c r="G26">
        <v>1</v>
      </c>
      <c r="H26">
        <v>3</v>
      </c>
      <c r="I26">
        <v>3</v>
      </c>
      <c r="J26">
        <v>1</v>
      </c>
      <c r="K26">
        <v>5</v>
      </c>
      <c r="L26">
        <v>1</v>
      </c>
      <c r="M26">
        <v>2</v>
      </c>
      <c r="N26">
        <v>6</v>
      </c>
      <c r="O26">
        <v>1</v>
      </c>
      <c r="P26">
        <v>3</v>
      </c>
      <c r="Q26" s="1"/>
      <c r="R26" s="25">
        <v>1</v>
      </c>
      <c r="S26" s="25">
        <v>1</v>
      </c>
      <c r="T26" s="25">
        <v>0</v>
      </c>
      <c r="U26" s="25">
        <v>2</v>
      </c>
      <c r="V26" s="25">
        <v>1</v>
      </c>
      <c r="W26" s="6">
        <v>0</v>
      </c>
      <c r="X26" s="6">
        <v>0</v>
      </c>
      <c r="Y26" s="38">
        <v>1</v>
      </c>
      <c r="Z26" s="38">
        <v>1</v>
      </c>
      <c r="AA26" s="38">
        <v>1</v>
      </c>
      <c r="AB26" s="38">
        <v>3</v>
      </c>
      <c r="AC26" s="38">
        <v>2</v>
      </c>
      <c r="AD26" s="38">
        <v>0</v>
      </c>
      <c r="AE26" s="38">
        <v>0</v>
      </c>
      <c r="AF26" s="35">
        <v>2</v>
      </c>
      <c r="AG26" s="35">
        <v>0</v>
      </c>
      <c r="AH26" s="35">
        <v>0</v>
      </c>
      <c r="AI26" s="35">
        <v>0</v>
      </c>
      <c r="AJ26" s="35">
        <v>0</v>
      </c>
      <c r="AK26" s="35">
        <v>2</v>
      </c>
      <c r="AL26" s="12">
        <f t="shared" si="22"/>
        <v>17</v>
      </c>
      <c r="AM26">
        <v>2</v>
      </c>
      <c r="AN26">
        <v>1</v>
      </c>
      <c r="AO26">
        <v>2</v>
      </c>
      <c r="AP26">
        <v>1</v>
      </c>
      <c r="AQ26">
        <v>1</v>
      </c>
      <c r="AR26">
        <v>3</v>
      </c>
      <c r="AS26">
        <v>2</v>
      </c>
      <c r="AT26">
        <v>3</v>
      </c>
      <c r="AU26">
        <v>3</v>
      </c>
      <c r="AV26">
        <v>1</v>
      </c>
      <c r="AW26">
        <v>1</v>
      </c>
      <c r="AX26">
        <v>1</v>
      </c>
      <c r="AY26">
        <v>2</v>
      </c>
      <c r="AZ26">
        <v>2</v>
      </c>
      <c r="BA26">
        <v>2</v>
      </c>
      <c r="BB26">
        <v>1</v>
      </c>
      <c r="BC26">
        <v>2</v>
      </c>
      <c r="BD26">
        <v>2</v>
      </c>
      <c r="BE26">
        <v>3</v>
      </c>
      <c r="BF26">
        <v>3</v>
      </c>
      <c r="BG26">
        <v>2</v>
      </c>
      <c r="BH26">
        <v>3</v>
      </c>
      <c r="BI26">
        <v>2</v>
      </c>
      <c r="BJ26">
        <v>2</v>
      </c>
      <c r="BK26">
        <v>1</v>
      </c>
      <c r="BL26">
        <v>2</v>
      </c>
      <c r="BM26">
        <v>1</v>
      </c>
      <c r="BN26">
        <v>1</v>
      </c>
      <c r="BO26">
        <v>2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2</v>
      </c>
      <c r="BV26">
        <v>1</v>
      </c>
      <c r="BW26">
        <v>2</v>
      </c>
      <c r="BX26">
        <v>1</v>
      </c>
      <c r="BY26">
        <v>1</v>
      </c>
      <c r="BZ26">
        <v>1</v>
      </c>
      <c r="CA26" s="5">
        <f t="shared" si="23"/>
        <v>67</v>
      </c>
      <c r="CB26" s="5">
        <f t="shared" si="18"/>
        <v>1.675</v>
      </c>
      <c r="CC26" s="6">
        <v>1</v>
      </c>
      <c r="CD26">
        <v>1</v>
      </c>
      <c r="CE26">
        <v>0</v>
      </c>
      <c r="CF26">
        <v>0</v>
      </c>
      <c r="CG26">
        <v>0</v>
      </c>
      <c r="CH26" s="20">
        <v>0</v>
      </c>
      <c r="CI26" s="7">
        <f t="shared" si="24"/>
        <v>1</v>
      </c>
      <c r="CJ26">
        <v>3</v>
      </c>
      <c r="CK26">
        <v>4</v>
      </c>
      <c r="CL26">
        <v>2</v>
      </c>
      <c r="CM26">
        <v>4</v>
      </c>
      <c r="CN26">
        <v>2</v>
      </c>
      <c r="CO26">
        <v>3</v>
      </c>
      <c r="CP26">
        <v>3</v>
      </c>
      <c r="CQ26">
        <v>2</v>
      </c>
      <c r="CR26">
        <v>4</v>
      </c>
      <c r="CS26">
        <v>3</v>
      </c>
      <c r="CT26">
        <v>3</v>
      </c>
      <c r="CU26">
        <v>4</v>
      </c>
      <c r="CV26">
        <v>2</v>
      </c>
      <c r="CW26">
        <v>3</v>
      </c>
      <c r="CX26" s="13">
        <f t="shared" si="25"/>
        <v>45</v>
      </c>
      <c r="CY26">
        <v>2</v>
      </c>
      <c r="CZ26">
        <v>2</v>
      </c>
      <c r="DA26">
        <v>2</v>
      </c>
      <c r="DB26">
        <v>2</v>
      </c>
      <c r="DC26">
        <v>1</v>
      </c>
      <c r="DD26">
        <v>2</v>
      </c>
      <c r="DE26">
        <v>2</v>
      </c>
      <c r="DF26">
        <v>2</v>
      </c>
      <c r="DG26">
        <v>2</v>
      </c>
      <c r="DH26">
        <v>2</v>
      </c>
      <c r="DI26" s="14">
        <f t="shared" si="26"/>
        <v>19</v>
      </c>
      <c r="DJ26">
        <v>4</v>
      </c>
      <c r="DK26">
        <v>4</v>
      </c>
      <c r="DL26">
        <v>4</v>
      </c>
      <c r="DM26">
        <v>4</v>
      </c>
      <c r="DN26">
        <v>2</v>
      </c>
      <c r="DO26">
        <v>4</v>
      </c>
      <c r="DP26" s="15">
        <f t="shared" si="27"/>
        <v>22</v>
      </c>
      <c r="DQ26" s="15">
        <f t="shared" si="19"/>
        <v>3.6666666666666665</v>
      </c>
      <c r="DR26">
        <v>3</v>
      </c>
      <c r="DS26">
        <v>3</v>
      </c>
      <c r="DT26">
        <v>3</v>
      </c>
      <c r="DU26">
        <v>2</v>
      </c>
      <c r="DV26">
        <v>2</v>
      </c>
      <c r="DW26">
        <v>3</v>
      </c>
      <c r="DX26">
        <v>2</v>
      </c>
      <c r="DY26">
        <v>3</v>
      </c>
      <c r="DZ26">
        <v>2</v>
      </c>
      <c r="EA26">
        <v>2</v>
      </c>
      <c r="EB26" s="16">
        <f t="shared" si="28"/>
        <v>25</v>
      </c>
      <c r="ED26">
        <v>3</v>
      </c>
      <c r="EE26">
        <v>2</v>
      </c>
      <c r="EF26">
        <v>3</v>
      </c>
      <c r="EG26">
        <v>3</v>
      </c>
      <c r="EH26">
        <v>3</v>
      </c>
      <c r="EI26">
        <v>3</v>
      </c>
      <c r="EJ26">
        <v>2</v>
      </c>
      <c r="EK26">
        <v>2</v>
      </c>
      <c r="EL26">
        <v>5</v>
      </c>
      <c r="EM26">
        <v>1</v>
      </c>
      <c r="EN26">
        <v>2</v>
      </c>
      <c r="EO26">
        <v>6</v>
      </c>
      <c r="EP26">
        <v>1</v>
      </c>
      <c r="EQ26">
        <v>3</v>
      </c>
      <c r="ER26" s="1"/>
      <c r="ES26">
        <v>1</v>
      </c>
      <c r="ET26">
        <v>1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1</v>
      </c>
      <c r="FM26" s="12">
        <f t="shared" si="29"/>
        <v>7</v>
      </c>
      <c r="FN26">
        <v>2</v>
      </c>
      <c r="FO26">
        <v>1</v>
      </c>
      <c r="FP26">
        <v>1</v>
      </c>
      <c r="FQ26">
        <v>1</v>
      </c>
      <c r="FR26">
        <v>1</v>
      </c>
      <c r="FS26">
        <v>2</v>
      </c>
      <c r="FT26">
        <v>1</v>
      </c>
      <c r="FU26">
        <v>2</v>
      </c>
      <c r="FV26">
        <v>1</v>
      </c>
      <c r="FW26">
        <v>2</v>
      </c>
      <c r="FX26">
        <v>1</v>
      </c>
      <c r="FY26">
        <v>1</v>
      </c>
      <c r="FZ26">
        <v>2</v>
      </c>
      <c r="GA26">
        <v>1</v>
      </c>
      <c r="GB26">
        <v>1</v>
      </c>
      <c r="GC26">
        <v>2</v>
      </c>
      <c r="GD26">
        <v>1</v>
      </c>
      <c r="GE26">
        <v>1</v>
      </c>
      <c r="GF26">
        <v>1</v>
      </c>
      <c r="GG26">
        <v>2</v>
      </c>
      <c r="GH26">
        <v>1</v>
      </c>
      <c r="GI26">
        <v>1</v>
      </c>
      <c r="GJ26">
        <v>1</v>
      </c>
      <c r="GK26">
        <v>1</v>
      </c>
      <c r="GL26">
        <v>2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 s="5">
        <f t="shared" si="30"/>
        <v>48</v>
      </c>
      <c r="HC26" s="5">
        <f t="shared" si="20"/>
        <v>1.2</v>
      </c>
      <c r="HD26" s="6">
        <v>1</v>
      </c>
      <c r="HE26">
        <v>0</v>
      </c>
      <c r="HF26">
        <v>0</v>
      </c>
      <c r="HG26">
        <v>0</v>
      </c>
      <c r="HH26">
        <v>0</v>
      </c>
      <c r="HI26">
        <v>0</v>
      </c>
      <c r="HJ26" s="7">
        <f t="shared" si="31"/>
        <v>0</v>
      </c>
      <c r="HK26">
        <v>3</v>
      </c>
      <c r="HL26">
        <v>4</v>
      </c>
      <c r="HM26">
        <v>3</v>
      </c>
      <c r="HN26">
        <v>4</v>
      </c>
      <c r="HO26">
        <v>3</v>
      </c>
      <c r="HP26">
        <v>4</v>
      </c>
      <c r="HQ26">
        <v>4</v>
      </c>
      <c r="HR26">
        <v>3</v>
      </c>
      <c r="HS26">
        <v>4</v>
      </c>
      <c r="HT26">
        <v>4</v>
      </c>
      <c r="HU26">
        <v>3</v>
      </c>
      <c r="HV26">
        <v>4</v>
      </c>
      <c r="HW26">
        <v>3</v>
      </c>
      <c r="HX26">
        <v>3</v>
      </c>
      <c r="HY26" s="13">
        <f t="shared" si="32"/>
        <v>49</v>
      </c>
      <c r="HZ26">
        <v>3</v>
      </c>
      <c r="IA26">
        <v>2</v>
      </c>
      <c r="IB26">
        <v>2</v>
      </c>
      <c r="IC26">
        <v>2</v>
      </c>
      <c r="ID26">
        <v>2</v>
      </c>
      <c r="IE26">
        <v>2</v>
      </c>
      <c r="IF26">
        <v>2</v>
      </c>
      <c r="IG26">
        <v>2</v>
      </c>
      <c r="IH26">
        <v>2</v>
      </c>
      <c r="II26">
        <v>2</v>
      </c>
      <c r="IJ26" s="14">
        <f t="shared" si="33"/>
        <v>21</v>
      </c>
      <c r="IK26">
        <v>4</v>
      </c>
      <c r="IL26">
        <v>4</v>
      </c>
      <c r="IM26">
        <v>4</v>
      </c>
      <c r="IN26">
        <v>4</v>
      </c>
      <c r="IO26">
        <v>4</v>
      </c>
      <c r="IP26">
        <v>4</v>
      </c>
      <c r="IQ26" s="15">
        <f t="shared" si="34"/>
        <v>24</v>
      </c>
      <c r="IR26" s="15">
        <f t="shared" si="21"/>
        <v>4</v>
      </c>
      <c r="IS26">
        <v>3</v>
      </c>
      <c r="IT26">
        <v>3</v>
      </c>
      <c r="IU26">
        <v>3</v>
      </c>
      <c r="IV26">
        <v>3</v>
      </c>
      <c r="IW26">
        <v>3</v>
      </c>
      <c r="IX26">
        <v>3</v>
      </c>
      <c r="IY26">
        <v>3</v>
      </c>
      <c r="IZ26">
        <v>3</v>
      </c>
      <c r="JA26">
        <v>3</v>
      </c>
      <c r="JB26">
        <v>2</v>
      </c>
      <c r="JC26" s="16">
        <f t="shared" si="35"/>
        <v>29</v>
      </c>
    </row>
    <row r="27" spans="1:263" s="17" customFormat="1" x14ac:dyDescent="0.25">
      <c r="Q27" s="18"/>
      <c r="AK27" s="23" t="s">
        <v>91</v>
      </c>
      <c r="AL27" s="18">
        <f>MIN(AL17:AL26)</f>
        <v>17</v>
      </c>
      <c r="BZ27" s="23" t="s">
        <v>91</v>
      </c>
      <c r="CA27" s="18">
        <f>MIN(CA17:CA26)</f>
        <v>66</v>
      </c>
      <c r="CB27" s="18">
        <f>MIN(CB17:CB26)</f>
        <v>1.65</v>
      </c>
      <c r="CH27" s="23" t="s">
        <v>91</v>
      </c>
      <c r="CI27" s="18">
        <f>MIN(CI17:CI26)</f>
        <v>0</v>
      </c>
      <c r="CW27" s="23" t="s">
        <v>91</v>
      </c>
      <c r="CX27" s="18">
        <f>MIN(CX17:CX26)</f>
        <v>31</v>
      </c>
      <c r="DH27" s="23" t="s">
        <v>91</v>
      </c>
      <c r="DI27" s="18">
        <f>MIN(DI17:DI26)</f>
        <v>12</v>
      </c>
      <c r="DO27" s="23" t="s">
        <v>91</v>
      </c>
      <c r="DP27" s="18">
        <f>MIN(DP17:DP26)</f>
        <v>12</v>
      </c>
      <c r="DQ27" s="18">
        <f>MIN(DQ17:DQ26)</f>
        <v>2</v>
      </c>
      <c r="EA27" s="23" t="s">
        <v>91</v>
      </c>
      <c r="EB27" s="18">
        <f>MIN(EB17:EB26)</f>
        <v>17</v>
      </c>
      <c r="ER27" s="18"/>
      <c r="FL27" s="23" t="s">
        <v>91</v>
      </c>
      <c r="FM27" s="18">
        <f>MIN(FM17:FM26)</f>
        <v>7</v>
      </c>
      <c r="HA27" s="23" t="s">
        <v>91</v>
      </c>
      <c r="HB27" s="18">
        <f>MIN(HB17:HB26)</f>
        <v>48</v>
      </c>
      <c r="HC27" s="18">
        <f>MIN(HC17:HC26)</f>
        <v>1.2</v>
      </c>
      <c r="HI27" s="23" t="s">
        <v>91</v>
      </c>
      <c r="HJ27" s="18">
        <f>MIN(HJ17:HJ26)</f>
        <v>0</v>
      </c>
      <c r="HX27" s="23" t="s">
        <v>91</v>
      </c>
      <c r="HY27" s="18">
        <f>MIN(HY17:HY26)</f>
        <v>31</v>
      </c>
      <c r="II27" s="23" t="s">
        <v>91</v>
      </c>
      <c r="IJ27" s="18">
        <f>MIN(IJ17:IJ26)</f>
        <v>7</v>
      </c>
      <c r="IP27" s="23" t="s">
        <v>91</v>
      </c>
      <c r="IQ27" s="18">
        <f>MIN(IQ17:IQ26)</f>
        <v>11</v>
      </c>
      <c r="IR27" s="18">
        <f>MIN(IR18:IR26)</f>
        <v>1.8333333333333333</v>
      </c>
      <c r="JC27" s="18">
        <f>MIN(JC17:JC26)</f>
        <v>15</v>
      </c>
    </row>
    <row r="28" spans="1:263" s="17" customFormat="1" x14ac:dyDescent="0.25">
      <c r="Q28" s="18"/>
      <c r="AK28" s="23" t="s">
        <v>92</v>
      </c>
      <c r="AL28" s="18">
        <f>MAX(AL17:AL26)</f>
        <v>55</v>
      </c>
      <c r="BZ28" s="23" t="s">
        <v>92</v>
      </c>
      <c r="CA28" s="18">
        <f>MAX(CA17:CA26)</f>
        <v>114</v>
      </c>
      <c r="CB28" s="18">
        <f>MAX(CB17:CB26)</f>
        <v>2.85</v>
      </c>
      <c r="CH28" s="23" t="s">
        <v>92</v>
      </c>
      <c r="CI28" s="18">
        <f>MAX(CI17:CI26)</f>
        <v>4</v>
      </c>
      <c r="CW28" s="23" t="s">
        <v>92</v>
      </c>
      <c r="CX28" s="18">
        <f>MAX(CX17:CX26)</f>
        <v>46</v>
      </c>
      <c r="DH28" s="23" t="s">
        <v>92</v>
      </c>
      <c r="DI28" s="18">
        <f>MAX(DI17:DI26)</f>
        <v>20</v>
      </c>
      <c r="DO28" s="23" t="s">
        <v>92</v>
      </c>
      <c r="DP28" s="18">
        <f>MAX(DP17:DP26)</f>
        <v>22</v>
      </c>
      <c r="DQ28" s="18">
        <f>MAX(DQ17:DQ26)</f>
        <v>3.6666666666666665</v>
      </c>
      <c r="EA28" s="23" t="s">
        <v>92</v>
      </c>
      <c r="EB28" s="18">
        <f>MAX(EB17:EB26)</f>
        <v>32</v>
      </c>
      <c r="ER28" s="18"/>
      <c r="FL28" s="23" t="s">
        <v>92</v>
      </c>
      <c r="FM28" s="18">
        <f>MAX(FM17:FM26)</f>
        <v>54</v>
      </c>
      <c r="HA28" s="23" t="s">
        <v>92</v>
      </c>
      <c r="HB28" s="18">
        <f>MAX(HB17:HB26)</f>
        <v>111</v>
      </c>
      <c r="HC28" s="18">
        <f>MAX(HC17:HC26)</f>
        <v>2.7749999999999999</v>
      </c>
      <c r="HI28" s="23" t="s">
        <v>92</v>
      </c>
      <c r="HJ28" s="18">
        <f>MAX(HJ17:HJ26)</f>
        <v>3</v>
      </c>
      <c r="HX28" s="23" t="s">
        <v>92</v>
      </c>
      <c r="HY28" s="18">
        <f>MAX(HY17:HY26)</f>
        <v>49</v>
      </c>
      <c r="II28" s="23" t="s">
        <v>92</v>
      </c>
      <c r="IJ28" s="18">
        <f>MAX(IJ17:IJ26)</f>
        <v>21</v>
      </c>
      <c r="IP28" s="23" t="s">
        <v>92</v>
      </c>
      <c r="IQ28" s="18">
        <f>MAX(IQ17:IQ26)</f>
        <v>24</v>
      </c>
      <c r="IR28" s="18">
        <f>MAX(IR18:IR26)</f>
        <v>4</v>
      </c>
      <c r="JC28" s="18">
        <f>MAX(JC17:JC26)</f>
        <v>32</v>
      </c>
    </row>
    <row r="29" spans="1:263" s="17" customFormat="1" x14ac:dyDescent="0.25">
      <c r="Q29" s="18"/>
      <c r="AK29" s="23" t="s">
        <v>94</v>
      </c>
      <c r="AL29" s="18">
        <f>AVERAGE(AL17:AL26)</f>
        <v>39.200000000000003</v>
      </c>
      <c r="BZ29" s="23" t="s">
        <v>94</v>
      </c>
      <c r="CA29" s="18">
        <f>AVERAGE(CA17:CA26)</f>
        <v>89.7</v>
      </c>
      <c r="CB29" s="18">
        <f>AVERAGE(CB17:CB26)</f>
        <v>2.2424999999999997</v>
      </c>
      <c r="CH29" s="23" t="s">
        <v>94</v>
      </c>
      <c r="CI29" s="18">
        <f>AVERAGE(CI17:CI26)</f>
        <v>2</v>
      </c>
      <c r="CW29" s="23" t="s">
        <v>94</v>
      </c>
      <c r="CX29" s="18">
        <f>AVERAGE(CX17:CX26)</f>
        <v>40.9</v>
      </c>
      <c r="DH29" s="23" t="s">
        <v>94</v>
      </c>
      <c r="DI29" s="18">
        <f>AVERAGE(DI17:DI26)</f>
        <v>15.6</v>
      </c>
      <c r="DO29" s="23" t="s">
        <v>94</v>
      </c>
      <c r="DP29" s="18">
        <f>AVERAGE(DP17:DP26)</f>
        <v>16.100000000000001</v>
      </c>
      <c r="DQ29" s="18">
        <f>AVERAGE(DQ17:DQ26)</f>
        <v>2.6833333333333331</v>
      </c>
      <c r="EA29" s="23" t="s">
        <v>94</v>
      </c>
      <c r="EB29" s="18">
        <f>AVERAGE(EB17:EB26)</f>
        <v>23.9</v>
      </c>
      <c r="ER29" s="18"/>
      <c r="FL29" s="23" t="s">
        <v>94</v>
      </c>
      <c r="FM29" s="18">
        <f>AVERAGE(FM17:FM26)</f>
        <v>35.299999999999997</v>
      </c>
      <c r="HA29" s="23" t="s">
        <v>94</v>
      </c>
      <c r="HB29" s="18">
        <f>AVERAGE(HB17:HB26)</f>
        <v>81.099999999999994</v>
      </c>
      <c r="HC29" s="18">
        <f>AVERAGE(HC17:HC26)</f>
        <v>2.0274999999999999</v>
      </c>
      <c r="HI29" s="23" t="s">
        <v>94</v>
      </c>
      <c r="HJ29" s="18">
        <f>AVERAGE(HJ17:HJ26)</f>
        <v>1.1000000000000001</v>
      </c>
      <c r="HX29" s="23" t="s">
        <v>94</v>
      </c>
      <c r="HY29" s="18">
        <f>AVERAGE(HY17:HY26)</f>
        <v>37.4</v>
      </c>
      <c r="II29" s="23" t="s">
        <v>94</v>
      </c>
      <c r="IJ29" s="18">
        <f>AVERAGE(IJ17:IJ26)</f>
        <v>15.9</v>
      </c>
      <c r="IP29" s="23" t="s">
        <v>94</v>
      </c>
      <c r="IQ29" s="18">
        <f>AVERAGE(IQ17:IQ26)</f>
        <v>17.100000000000001</v>
      </c>
      <c r="IR29" s="18">
        <f>AVERAGE(IR18:IR26)</f>
        <v>2.7962962962962963</v>
      </c>
      <c r="JC29" s="18">
        <f>AVERAGE(JC17:JC26)</f>
        <v>23.3</v>
      </c>
    </row>
    <row r="30" spans="1:263" s="17" customFormat="1" x14ac:dyDescent="0.25">
      <c r="Q30" s="18"/>
      <c r="AK30" s="23" t="s">
        <v>93</v>
      </c>
      <c r="AL30" s="18">
        <f>STDEV(AL17:AL26)</f>
        <v>11.707547423208105</v>
      </c>
      <c r="BZ30" s="23" t="s">
        <v>93</v>
      </c>
      <c r="CA30" s="18">
        <f>STDEV(CA17:CA26)</f>
        <v>15.311941599795768</v>
      </c>
      <c r="CB30" s="18">
        <f>STDEV(CB17:CB26)</f>
        <v>0.38279853999489472</v>
      </c>
      <c r="CH30" s="23" t="s">
        <v>93</v>
      </c>
      <c r="CI30" s="18">
        <f>STDEV(CI17:CI26)</f>
        <v>1.4907119849998598</v>
      </c>
      <c r="CW30" s="23" t="s">
        <v>93</v>
      </c>
      <c r="CX30" s="18">
        <f>STDEV(CX17:CX26)</f>
        <v>4.7714428286071744</v>
      </c>
      <c r="DH30" s="23" t="s">
        <v>93</v>
      </c>
      <c r="DI30" s="18">
        <f>STDEV(DI17:DI26)</f>
        <v>3.0258148581093929</v>
      </c>
      <c r="DO30" s="23" t="s">
        <v>93</v>
      </c>
      <c r="DP30" s="18">
        <f>STDEV(DP17:DP26)</f>
        <v>3.754996671103719</v>
      </c>
      <c r="DQ30" s="18">
        <f>STDEV(DQ17:DQ26)</f>
        <v>0.62583277851728669</v>
      </c>
      <c r="EA30" s="23" t="s">
        <v>93</v>
      </c>
      <c r="EB30" s="18">
        <f>STDEV(EB17:EB26)</f>
        <v>4.9988887654046525</v>
      </c>
      <c r="ER30" s="18"/>
      <c r="FL30" s="23" t="s">
        <v>93</v>
      </c>
      <c r="FM30" s="18">
        <f>STDEV(FM17:FM26)</f>
        <v>14.453373308677806</v>
      </c>
      <c r="HA30" s="23" t="s">
        <v>93</v>
      </c>
      <c r="HB30" s="18">
        <f>STDEV(HB17:HB26)</f>
        <v>17.226916922846815</v>
      </c>
      <c r="HC30" s="18">
        <f>STDEV(HC17:HC26)</f>
        <v>0.43067292307117133</v>
      </c>
      <c r="HI30" s="23" t="s">
        <v>93</v>
      </c>
      <c r="HJ30" s="18">
        <f>STDEV(HJ17:HJ26)</f>
        <v>1.1972189997378648</v>
      </c>
      <c r="HX30" s="23" t="s">
        <v>93</v>
      </c>
      <c r="HY30" s="18">
        <f>STDEV(HY17:HY26)</f>
        <v>5.7387571244419551</v>
      </c>
      <c r="II30" s="23" t="s">
        <v>93</v>
      </c>
      <c r="IJ30" s="18">
        <f>STDEV(IJ17:IJ26)</f>
        <v>4.0400770069668512</v>
      </c>
      <c r="IP30" s="23" t="s">
        <v>93</v>
      </c>
      <c r="IQ30" s="18">
        <f>STDEV(IQ17:IQ26)</f>
        <v>5.7821564604681308</v>
      </c>
      <c r="IR30" s="18">
        <f>STDEV(IR18:IR26)</f>
        <v>1.0061539042374903</v>
      </c>
      <c r="JC30" s="18">
        <f>STDEV(JC17:JC26)</f>
        <v>5.4579198316656257</v>
      </c>
    </row>
    <row r="31" spans="1:263" x14ac:dyDescent="0.25">
      <c r="A31" t="s">
        <v>74</v>
      </c>
      <c r="B31" s="39" t="s">
        <v>89</v>
      </c>
      <c r="C31">
        <v>1</v>
      </c>
      <c r="D31">
        <v>3</v>
      </c>
      <c r="E31">
        <v>3</v>
      </c>
      <c r="F31">
        <v>3</v>
      </c>
      <c r="G31">
        <v>1</v>
      </c>
      <c r="H31">
        <v>2</v>
      </c>
      <c r="I31">
        <v>2</v>
      </c>
      <c r="J31">
        <v>6</v>
      </c>
      <c r="K31">
        <v>5</v>
      </c>
      <c r="L31">
        <v>1</v>
      </c>
      <c r="M31">
        <v>5</v>
      </c>
      <c r="N31">
        <v>6</v>
      </c>
      <c r="O31">
        <v>1</v>
      </c>
      <c r="P31">
        <v>3</v>
      </c>
      <c r="Q31" s="1"/>
      <c r="R31" s="25">
        <v>4</v>
      </c>
      <c r="S31" s="25">
        <v>4</v>
      </c>
      <c r="T31" s="25">
        <v>3</v>
      </c>
      <c r="U31" s="25">
        <v>3</v>
      </c>
      <c r="V31" s="25">
        <v>2</v>
      </c>
      <c r="W31" s="6">
        <v>3</v>
      </c>
      <c r="X31" s="6">
        <v>4</v>
      </c>
      <c r="Y31" s="38">
        <v>0</v>
      </c>
      <c r="Z31" s="38">
        <v>3</v>
      </c>
      <c r="AA31" s="38">
        <v>2</v>
      </c>
      <c r="AB31" s="38">
        <v>4</v>
      </c>
      <c r="AC31" s="38">
        <v>4</v>
      </c>
      <c r="AD31" s="38">
        <v>3</v>
      </c>
      <c r="AE31" s="38">
        <v>3</v>
      </c>
      <c r="AF31" s="35">
        <v>3</v>
      </c>
      <c r="AG31" s="35">
        <v>2</v>
      </c>
      <c r="AH31" s="35">
        <v>3</v>
      </c>
      <c r="AI31" s="35">
        <v>4</v>
      </c>
      <c r="AJ31" s="35">
        <v>3</v>
      </c>
      <c r="AK31" s="35">
        <v>4</v>
      </c>
      <c r="AL31" s="12">
        <f>SUM(R31:AK31)</f>
        <v>61</v>
      </c>
      <c r="AM31">
        <v>4</v>
      </c>
      <c r="AN31">
        <v>3</v>
      </c>
      <c r="AO31">
        <v>4</v>
      </c>
      <c r="AP31">
        <v>4</v>
      </c>
      <c r="AQ31">
        <v>3</v>
      </c>
      <c r="AR31">
        <v>3</v>
      </c>
      <c r="AS31">
        <v>3</v>
      </c>
      <c r="AT31">
        <v>4</v>
      </c>
      <c r="AU31">
        <v>3</v>
      </c>
      <c r="AV31">
        <v>3</v>
      </c>
      <c r="AW31">
        <v>4</v>
      </c>
      <c r="AX31">
        <v>1</v>
      </c>
      <c r="AY31">
        <v>3</v>
      </c>
      <c r="AZ31">
        <v>3</v>
      </c>
      <c r="BA31">
        <v>3</v>
      </c>
      <c r="BB31">
        <v>3</v>
      </c>
      <c r="BC31">
        <v>4</v>
      </c>
      <c r="BD31">
        <v>3</v>
      </c>
      <c r="BE31">
        <v>3</v>
      </c>
      <c r="BF31">
        <v>3</v>
      </c>
      <c r="BG31">
        <v>3</v>
      </c>
      <c r="BH31">
        <v>3</v>
      </c>
      <c r="BI31">
        <v>3</v>
      </c>
      <c r="BJ31">
        <v>3</v>
      </c>
      <c r="BK31">
        <v>2</v>
      </c>
      <c r="BL31">
        <v>3</v>
      </c>
      <c r="BM31">
        <v>1</v>
      </c>
      <c r="BN31">
        <v>3</v>
      </c>
      <c r="BO31">
        <v>3</v>
      </c>
      <c r="BP31">
        <v>3</v>
      </c>
      <c r="BQ31">
        <v>3</v>
      </c>
      <c r="BR31">
        <v>2</v>
      </c>
      <c r="BS31">
        <v>3</v>
      </c>
      <c r="BT31">
        <v>2</v>
      </c>
      <c r="BU31">
        <v>4</v>
      </c>
      <c r="BV31">
        <v>3</v>
      </c>
      <c r="BW31">
        <v>2</v>
      </c>
      <c r="BX31">
        <v>3</v>
      </c>
      <c r="BY31">
        <v>1</v>
      </c>
      <c r="BZ31">
        <v>4</v>
      </c>
      <c r="CA31" s="5">
        <f>SUM(AM31:BZ31)</f>
        <v>118</v>
      </c>
      <c r="CB31" s="5">
        <f t="shared" ref="CB31:CB40" si="36">CA31/40</f>
        <v>2.95</v>
      </c>
      <c r="CC31" s="6">
        <v>1</v>
      </c>
      <c r="CD31">
        <v>1</v>
      </c>
      <c r="CE31">
        <v>1</v>
      </c>
      <c r="CF31">
        <v>1</v>
      </c>
      <c r="CG31">
        <v>1</v>
      </c>
      <c r="CH31" s="20">
        <v>0</v>
      </c>
      <c r="CI31" s="7">
        <f>SUM(CD31:CH31)</f>
        <v>4</v>
      </c>
      <c r="CJ31">
        <v>3</v>
      </c>
      <c r="CK31">
        <v>3</v>
      </c>
      <c r="CL31">
        <v>2</v>
      </c>
      <c r="CM31">
        <v>3</v>
      </c>
      <c r="CN31">
        <v>3</v>
      </c>
      <c r="CO31">
        <v>3</v>
      </c>
      <c r="CP31">
        <v>3</v>
      </c>
      <c r="CQ31">
        <v>2</v>
      </c>
      <c r="CR31">
        <v>3</v>
      </c>
      <c r="CS31">
        <v>2</v>
      </c>
      <c r="CT31">
        <v>2</v>
      </c>
      <c r="CU31">
        <v>3</v>
      </c>
      <c r="CV31">
        <v>2</v>
      </c>
      <c r="CW31">
        <v>3</v>
      </c>
      <c r="CX31" s="13">
        <f>SUM(CC31:CW31)</f>
        <v>46</v>
      </c>
      <c r="CY31">
        <v>2</v>
      </c>
      <c r="CZ31">
        <v>2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2</v>
      </c>
      <c r="DG31">
        <v>1</v>
      </c>
      <c r="DH31">
        <v>1</v>
      </c>
      <c r="DI31" s="14">
        <f>SUM(CY31:DH31)</f>
        <v>13</v>
      </c>
      <c r="DJ31">
        <v>2</v>
      </c>
      <c r="DK31">
        <v>2</v>
      </c>
      <c r="DL31">
        <v>2</v>
      </c>
      <c r="DM31">
        <v>2</v>
      </c>
      <c r="DN31">
        <v>2</v>
      </c>
      <c r="DO31">
        <v>2</v>
      </c>
      <c r="DP31" s="15">
        <f>SUM(DJ31:DO31)</f>
        <v>12</v>
      </c>
      <c r="DQ31" s="15">
        <f t="shared" ref="DQ31:DQ40" si="37">DP31/6</f>
        <v>2</v>
      </c>
      <c r="DR31">
        <v>2</v>
      </c>
      <c r="DS31">
        <v>2</v>
      </c>
      <c r="DT31">
        <v>2</v>
      </c>
      <c r="DU31">
        <v>2</v>
      </c>
      <c r="DV31">
        <v>2</v>
      </c>
      <c r="DW31">
        <v>3</v>
      </c>
      <c r="DX31">
        <v>2</v>
      </c>
      <c r="DY31">
        <v>2</v>
      </c>
      <c r="DZ31">
        <v>2</v>
      </c>
      <c r="EA31">
        <v>2</v>
      </c>
      <c r="EB31" s="16">
        <f>SUM(DR31:EA31)</f>
        <v>21</v>
      </c>
      <c r="ED31">
        <v>1</v>
      </c>
      <c r="EE31">
        <v>3</v>
      </c>
      <c r="EF31">
        <v>3</v>
      </c>
      <c r="EG31">
        <v>3</v>
      </c>
      <c r="EH31">
        <v>1</v>
      </c>
      <c r="EI31">
        <v>3</v>
      </c>
      <c r="EJ31">
        <v>3</v>
      </c>
      <c r="EK31">
        <v>1</v>
      </c>
      <c r="EL31">
        <v>5</v>
      </c>
      <c r="EM31">
        <v>1</v>
      </c>
      <c r="EN31">
        <v>3</v>
      </c>
      <c r="EO31">
        <v>6</v>
      </c>
      <c r="EP31">
        <v>1</v>
      </c>
      <c r="EQ31">
        <v>3</v>
      </c>
      <c r="ER31" s="1"/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 s="12">
        <f>SUM(ES31:FL31)</f>
        <v>6</v>
      </c>
      <c r="FN31">
        <v>2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2</v>
      </c>
      <c r="GA31">
        <v>2</v>
      </c>
      <c r="GB31">
        <v>1</v>
      </c>
      <c r="GC31">
        <v>1</v>
      </c>
      <c r="GD31">
        <v>2</v>
      </c>
      <c r="GE31">
        <v>1</v>
      </c>
      <c r="GF31">
        <v>2</v>
      </c>
      <c r="GG31">
        <v>2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2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2</v>
      </c>
      <c r="GW31">
        <v>1</v>
      </c>
      <c r="GX31">
        <v>1</v>
      </c>
      <c r="GY31">
        <v>2</v>
      </c>
      <c r="GZ31">
        <v>1</v>
      </c>
      <c r="HA31">
        <v>1</v>
      </c>
      <c r="HB31" s="5">
        <f>SUM(FN31:HA31)</f>
        <v>49</v>
      </c>
      <c r="HC31" s="5">
        <f t="shared" ref="HC31:HC40" si="38">HB31/40</f>
        <v>1.2250000000000001</v>
      </c>
      <c r="HD31" s="6">
        <v>1</v>
      </c>
      <c r="HE31">
        <v>0</v>
      </c>
      <c r="HF31">
        <v>0</v>
      </c>
      <c r="HG31">
        <v>0</v>
      </c>
      <c r="HH31">
        <v>0</v>
      </c>
      <c r="HI31">
        <v>0</v>
      </c>
      <c r="HJ31" s="7">
        <f>SUM(HE31:HI31)</f>
        <v>0</v>
      </c>
      <c r="HK31">
        <v>3</v>
      </c>
      <c r="HL31">
        <v>4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3</v>
      </c>
      <c r="HS31" s="18">
        <v>4</v>
      </c>
      <c r="HT31" s="18">
        <v>3</v>
      </c>
      <c r="HU31" s="18">
        <v>3</v>
      </c>
      <c r="HV31" s="18">
        <v>3</v>
      </c>
      <c r="HW31" s="18">
        <v>3</v>
      </c>
      <c r="HX31" s="18">
        <v>4</v>
      </c>
      <c r="HY31" s="13">
        <f>SUM(HK31:HX31)</f>
        <v>45</v>
      </c>
      <c r="HZ31">
        <v>2</v>
      </c>
      <c r="IA31">
        <v>2</v>
      </c>
      <c r="IB31">
        <v>2</v>
      </c>
      <c r="IC31">
        <v>2</v>
      </c>
      <c r="ID31">
        <v>1</v>
      </c>
      <c r="IE31">
        <v>1</v>
      </c>
      <c r="IF31">
        <v>2</v>
      </c>
      <c r="IG31">
        <v>2</v>
      </c>
      <c r="IH31">
        <v>2</v>
      </c>
      <c r="II31">
        <v>2</v>
      </c>
      <c r="IJ31" s="14">
        <f>SUM(HZ31:II31)</f>
        <v>18</v>
      </c>
      <c r="IK31">
        <v>2</v>
      </c>
      <c r="IL31">
        <v>2</v>
      </c>
      <c r="IM31">
        <v>2</v>
      </c>
      <c r="IN31">
        <v>2</v>
      </c>
      <c r="IO31">
        <v>2</v>
      </c>
      <c r="IP31">
        <v>2</v>
      </c>
      <c r="IQ31" s="15">
        <f>SUM(IK31:IP31)</f>
        <v>12</v>
      </c>
      <c r="IR31" s="15">
        <f t="shared" ref="IR31:IR40" si="39">IQ31/6</f>
        <v>2</v>
      </c>
      <c r="IS31">
        <v>3</v>
      </c>
      <c r="IT31">
        <v>3</v>
      </c>
      <c r="IU31">
        <v>3</v>
      </c>
      <c r="IV31">
        <v>2</v>
      </c>
      <c r="IW31">
        <v>2</v>
      </c>
      <c r="IX31">
        <v>3</v>
      </c>
      <c r="IY31">
        <v>2</v>
      </c>
      <c r="IZ31">
        <v>3</v>
      </c>
      <c r="JA31">
        <v>3</v>
      </c>
      <c r="JB31">
        <v>2</v>
      </c>
      <c r="JC31" s="16">
        <v>26</v>
      </c>
    </row>
    <row r="32" spans="1:263" x14ac:dyDescent="0.25">
      <c r="A32" t="s">
        <v>75</v>
      </c>
      <c r="B32" s="40"/>
      <c r="C32">
        <v>3</v>
      </c>
      <c r="D32">
        <v>3</v>
      </c>
      <c r="E32">
        <v>1</v>
      </c>
      <c r="F32">
        <v>3</v>
      </c>
      <c r="G32">
        <v>3</v>
      </c>
      <c r="H32">
        <v>3</v>
      </c>
      <c r="I32">
        <v>2</v>
      </c>
      <c r="J32">
        <v>1</v>
      </c>
      <c r="K32">
        <v>4</v>
      </c>
      <c r="L32">
        <v>3</v>
      </c>
      <c r="M32">
        <v>2</v>
      </c>
      <c r="N32">
        <v>2</v>
      </c>
      <c r="O32">
        <v>2</v>
      </c>
      <c r="P32">
        <v>3</v>
      </c>
      <c r="Q32" s="1"/>
      <c r="R32" s="25">
        <v>2</v>
      </c>
      <c r="S32" s="25">
        <v>2</v>
      </c>
      <c r="T32" s="25">
        <v>1</v>
      </c>
      <c r="U32" s="25">
        <v>3</v>
      </c>
      <c r="V32" s="25">
        <v>1</v>
      </c>
      <c r="W32" s="6">
        <v>2</v>
      </c>
      <c r="X32" s="6">
        <v>1</v>
      </c>
      <c r="Y32" s="38">
        <v>3</v>
      </c>
      <c r="Z32" s="38">
        <v>1</v>
      </c>
      <c r="AA32" s="38">
        <v>2</v>
      </c>
      <c r="AB32" s="38">
        <v>2</v>
      </c>
      <c r="AC32" s="38">
        <v>2</v>
      </c>
      <c r="AD32" s="38">
        <v>0</v>
      </c>
      <c r="AE32" s="38">
        <v>0</v>
      </c>
      <c r="AF32" s="35">
        <v>0</v>
      </c>
      <c r="AG32" s="35">
        <v>0</v>
      </c>
      <c r="AH32" s="35">
        <v>1</v>
      </c>
      <c r="AI32" s="35">
        <v>2</v>
      </c>
      <c r="AJ32" s="35">
        <v>3</v>
      </c>
      <c r="AK32" s="35">
        <v>1</v>
      </c>
      <c r="AL32" s="12">
        <f t="shared" ref="AL32:AL40" si="40">SUM(R32:AK32)</f>
        <v>29</v>
      </c>
      <c r="AM32">
        <v>3</v>
      </c>
      <c r="AN32">
        <v>2</v>
      </c>
      <c r="AO32">
        <v>3</v>
      </c>
      <c r="AP32">
        <v>2</v>
      </c>
      <c r="AQ32">
        <v>2</v>
      </c>
      <c r="AR32">
        <v>2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1</v>
      </c>
      <c r="AY32">
        <v>2</v>
      </c>
      <c r="AZ32">
        <v>2</v>
      </c>
      <c r="BA32">
        <v>3</v>
      </c>
      <c r="BB32">
        <v>2</v>
      </c>
      <c r="BC32">
        <v>2</v>
      </c>
      <c r="BD32">
        <v>2</v>
      </c>
      <c r="BE32">
        <v>2</v>
      </c>
      <c r="BF32">
        <v>3</v>
      </c>
      <c r="BG32">
        <v>2</v>
      </c>
      <c r="BH32">
        <v>3</v>
      </c>
      <c r="BI32">
        <v>3</v>
      </c>
      <c r="BJ32">
        <v>2</v>
      </c>
      <c r="BK32">
        <v>1</v>
      </c>
      <c r="BL32">
        <v>1</v>
      </c>
      <c r="BM32">
        <v>2</v>
      </c>
      <c r="BN32">
        <v>3</v>
      </c>
      <c r="BO32">
        <v>2</v>
      </c>
      <c r="BP32">
        <v>2</v>
      </c>
      <c r="BQ32">
        <v>3</v>
      </c>
      <c r="BR32">
        <v>1</v>
      </c>
      <c r="BS32">
        <v>2</v>
      </c>
      <c r="BT32">
        <v>1</v>
      </c>
      <c r="BU32">
        <v>3</v>
      </c>
      <c r="BV32">
        <v>2</v>
      </c>
      <c r="BW32">
        <v>2</v>
      </c>
      <c r="BX32">
        <v>2</v>
      </c>
      <c r="BY32">
        <v>1</v>
      </c>
      <c r="BZ32">
        <v>3</v>
      </c>
      <c r="CA32" s="5">
        <f t="shared" ref="CA32:CA40" si="41">SUM(AM32:BZ32)</f>
        <v>84</v>
      </c>
      <c r="CB32" s="5">
        <f t="shared" si="36"/>
        <v>2.1</v>
      </c>
      <c r="CC32" s="6">
        <v>1</v>
      </c>
      <c r="CD32">
        <v>1</v>
      </c>
      <c r="CE32">
        <v>1</v>
      </c>
      <c r="CF32">
        <v>1</v>
      </c>
      <c r="CG32">
        <v>0</v>
      </c>
      <c r="CH32" s="20">
        <v>0</v>
      </c>
      <c r="CI32" s="7">
        <f t="shared" ref="CI32:CI40" si="42">SUM(CD32:CH32)</f>
        <v>3</v>
      </c>
      <c r="CJ32">
        <v>3</v>
      </c>
      <c r="CK32">
        <v>4</v>
      </c>
      <c r="CL32">
        <v>3</v>
      </c>
      <c r="CM32">
        <v>4</v>
      </c>
      <c r="CN32">
        <v>3</v>
      </c>
      <c r="CO32">
        <v>3</v>
      </c>
      <c r="CP32">
        <v>3</v>
      </c>
      <c r="CQ32">
        <v>3</v>
      </c>
      <c r="CR32">
        <v>4</v>
      </c>
      <c r="CS32">
        <v>3</v>
      </c>
      <c r="CT32">
        <v>4</v>
      </c>
      <c r="CU32">
        <v>4</v>
      </c>
      <c r="CV32">
        <v>3</v>
      </c>
      <c r="CW32">
        <v>3</v>
      </c>
      <c r="CX32" s="13">
        <f t="shared" ref="CX32:CX40" si="43">SUM(CC32:CW32)</f>
        <v>54</v>
      </c>
      <c r="CY32">
        <v>3</v>
      </c>
      <c r="CZ32">
        <v>2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>
        <v>3</v>
      </c>
      <c r="DH32">
        <v>2</v>
      </c>
      <c r="DI32" s="14">
        <f t="shared" ref="DI32:DI40" si="44">SUM(CY32:DH32)</f>
        <v>22</v>
      </c>
      <c r="DJ32">
        <v>3</v>
      </c>
      <c r="DK32">
        <v>4</v>
      </c>
      <c r="DL32">
        <v>4</v>
      </c>
      <c r="DM32">
        <v>4</v>
      </c>
      <c r="DN32">
        <v>4</v>
      </c>
      <c r="DO32">
        <v>4</v>
      </c>
      <c r="DP32" s="15">
        <f t="shared" ref="DP32:DP40" si="45">SUM(DJ32:DO32)</f>
        <v>23</v>
      </c>
      <c r="DQ32" s="15">
        <f t="shared" si="37"/>
        <v>3.8333333333333335</v>
      </c>
      <c r="DR32">
        <v>3</v>
      </c>
      <c r="DS32">
        <v>3</v>
      </c>
      <c r="DT32">
        <v>3</v>
      </c>
      <c r="DU32">
        <v>3</v>
      </c>
      <c r="DV32">
        <v>2</v>
      </c>
      <c r="DW32">
        <v>3</v>
      </c>
      <c r="DX32">
        <v>2</v>
      </c>
      <c r="DY32">
        <v>3</v>
      </c>
      <c r="DZ32">
        <v>3</v>
      </c>
      <c r="EA32">
        <v>3</v>
      </c>
      <c r="EB32" s="16">
        <f t="shared" ref="EB32:EB40" si="46">SUM(DR32:EA32)</f>
        <v>28</v>
      </c>
      <c r="ED32">
        <v>3</v>
      </c>
      <c r="EE32">
        <v>3</v>
      </c>
      <c r="EF32">
        <v>3</v>
      </c>
      <c r="EG32">
        <v>3</v>
      </c>
      <c r="EH32">
        <v>3</v>
      </c>
      <c r="EI32">
        <v>3</v>
      </c>
      <c r="EJ32">
        <v>3</v>
      </c>
      <c r="EK32">
        <v>1</v>
      </c>
      <c r="EL32">
        <v>3</v>
      </c>
      <c r="EM32">
        <v>1</v>
      </c>
      <c r="EN32">
        <v>3</v>
      </c>
      <c r="EO32">
        <v>6</v>
      </c>
      <c r="EP32">
        <v>1</v>
      </c>
      <c r="EQ32">
        <v>3</v>
      </c>
      <c r="ER32" s="1"/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1</v>
      </c>
      <c r="FC32">
        <v>2</v>
      </c>
      <c r="FD32">
        <v>1</v>
      </c>
      <c r="FE32">
        <v>0</v>
      </c>
      <c r="FF32">
        <v>1</v>
      </c>
      <c r="FG32">
        <v>1</v>
      </c>
      <c r="FH32">
        <v>1</v>
      </c>
      <c r="FI32">
        <v>0</v>
      </c>
      <c r="FJ32">
        <v>0</v>
      </c>
      <c r="FK32">
        <v>0</v>
      </c>
      <c r="FL32">
        <v>1</v>
      </c>
      <c r="FM32" s="12">
        <f t="shared" ref="FM32:FM40" si="47">SUM(ES32:FL32)</f>
        <v>9</v>
      </c>
      <c r="FN32">
        <v>2</v>
      </c>
      <c r="FO32">
        <v>1</v>
      </c>
      <c r="FP32">
        <v>2</v>
      </c>
      <c r="FQ32">
        <v>1</v>
      </c>
      <c r="FR32">
        <v>1</v>
      </c>
      <c r="FS32">
        <v>2</v>
      </c>
      <c r="FT32">
        <v>1</v>
      </c>
      <c r="FU32">
        <v>2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2</v>
      </c>
      <c r="GB32">
        <v>1</v>
      </c>
      <c r="GC32">
        <v>2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2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2</v>
      </c>
      <c r="GZ32">
        <v>1</v>
      </c>
      <c r="HA32">
        <v>1</v>
      </c>
      <c r="HB32" s="5">
        <f t="shared" ref="HB32:HB40" si="48">SUM(FN32:HA32)</f>
        <v>48</v>
      </c>
      <c r="HC32" s="5">
        <f t="shared" si="38"/>
        <v>1.2</v>
      </c>
      <c r="HD32" s="6">
        <v>1</v>
      </c>
      <c r="HE32">
        <v>0</v>
      </c>
      <c r="HF32">
        <v>0</v>
      </c>
      <c r="HG32">
        <v>0</v>
      </c>
      <c r="HH32">
        <v>0</v>
      </c>
      <c r="HI32">
        <v>0</v>
      </c>
      <c r="HJ32" s="7">
        <f t="shared" ref="HJ32:HJ40" si="49">SUM(HE32:HI32)</f>
        <v>0</v>
      </c>
      <c r="HK32">
        <v>3</v>
      </c>
      <c r="HL32">
        <v>3</v>
      </c>
      <c r="HM32">
        <v>3</v>
      </c>
      <c r="HN32">
        <v>3</v>
      </c>
      <c r="HO32">
        <v>3</v>
      </c>
      <c r="HP32">
        <v>3</v>
      </c>
      <c r="HQ32">
        <v>3</v>
      </c>
      <c r="HR32">
        <v>3</v>
      </c>
      <c r="HS32">
        <v>4</v>
      </c>
      <c r="HT32">
        <v>3</v>
      </c>
      <c r="HU32">
        <v>3</v>
      </c>
      <c r="HV32">
        <v>3</v>
      </c>
      <c r="HW32">
        <v>3</v>
      </c>
      <c r="HX32">
        <v>3</v>
      </c>
      <c r="HY32" s="13">
        <f>SUM(HK32:HX32)</f>
        <v>43</v>
      </c>
      <c r="HZ32">
        <v>2</v>
      </c>
      <c r="IA32">
        <v>2</v>
      </c>
      <c r="IB32">
        <v>2</v>
      </c>
      <c r="IC32">
        <v>2</v>
      </c>
      <c r="ID32">
        <v>2</v>
      </c>
      <c r="IE32">
        <v>2</v>
      </c>
      <c r="IF32">
        <v>2</v>
      </c>
      <c r="IG32">
        <v>2</v>
      </c>
      <c r="IH32">
        <v>2</v>
      </c>
      <c r="II32">
        <v>2</v>
      </c>
      <c r="IJ32" s="14">
        <f t="shared" ref="IJ32:IJ40" si="50">SUM(HZ32:II32)</f>
        <v>20</v>
      </c>
      <c r="IK32">
        <v>4</v>
      </c>
      <c r="IL32">
        <v>4</v>
      </c>
      <c r="IM32">
        <v>4</v>
      </c>
      <c r="IN32">
        <v>4</v>
      </c>
      <c r="IO32">
        <v>4</v>
      </c>
      <c r="IP32">
        <v>4</v>
      </c>
      <c r="IQ32" s="15">
        <f t="shared" ref="IQ32:IQ40" si="51">SUM(IK32:IP32)</f>
        <v>24</v>
      </c>
      <c r="IR32" s="15">
        <f t="shared" si="39"/>
        <v>4</v>
      </c>
      <c r="IS32">
        <v>3</v>
      </c>
      <c r="IT32">
        <v>3</v>
      </c>
      <c r="IU32">
        <v>3</v>
      </c>
      <c r="IV32">
        <v>3</v>
      </c>
      <c r="IW32">
        <v>2</v>
      </c>
      <c r="IX32">
        <v>3</v>
      </c>
      <c r="IY32">
        <v>3</v>
      </c>
      <c r="IZ32">
        <v>3</v>
      </c>
      <c r="JA32">
        <v>2</v>
      </c>
      <c r="JB32">
        <v>2</v>
      </c>
      <c r="JC32" s="16">
        <v>27</v>
      </c>
    </row>
    <row r="33" spans="1:263" x14ac:dyDescent="0.25">
      <c r="A33" t="s">
        <v>76</v>
      </c>
      <c r="B33" s="40"/>
      <c r="C33">
        <v>3</v>
      </c>
      <c r="D33">
        <v>3</v>
      </c>
      <c r="E33">
        <v>3</v>
      </c>
      <c r="F33">
        <v>3</v>
      </c>
      <c r="G33">
        <v>6</v>
      </c>
      <c r="H33">
        <v>3</v>
      </c>
      <c r="I33">
        <v>3</v>
      </c>
      <c r="J33">
        <v>5</v>
      </c>
      <c r="K33">
        <v>5</v>
      </c>
      <c r="L33">
        <v>5</v>
      </c>
      <c r="M33">
        <v>5</v>
      </c>
      <c r="N33">
        <v>6</v>
      </c>
      <c r="O33">
        <v>1</v>
      </c>
      <c r="P33">
        <v>3</v>
      </c>
      <c r="Q33" s="1"/>
      <c r="R33" s="25">
        <v>4</v>
      </c>
      <c r="S33" s="25">
        <v>3</v>
      </c>
      <c r="T33" s="25">
        <v>3</v>
      </c>
      <c r="U33" s="25">
        <v>4</v>
      </c>
      <c r="V33" s="25">
        <v>3</v>
      </c>
      <c r="W33" s="6">
        <v>3</v>
      </c>
      <c r="X33" s="6">
        <v>3</v>
      </c>
      <c r="Y33" s="38">
        <v>3</v>
      </c>
      <c r="Z33" s="38">
        <v>3</v>
      </c>
      <c r="AA33" s="38">
        <v>2</v>
      </c>
      <c r="AB33" s="38">
        <v>4</v>
      </c>
      <c r="AC33" s="38">
        <v>3</v>
      </c>
      <c r="AD33" s="38">
        <v>3</v>
      </c>
      <c r="AE33" s="38">
        <v>3</v>
      </c>
      <c r="AF33" s="35">
        <v>2</v>
      </c>
      <c r="AG33" s="35">
        <v>2</v>
      </c>
      <c r="AH33" s="35">
        <v>3</v>
      </c>
      <c r="AI33" s="35">
        <v>3</v>
      </c>
      <c r="AJ33" s="35">
        <v>3</v>
      </c>
      <c r="AK33" s="35">
        <v>4</v>
      </c>
      <c r="AL33" s="12">
        <f t="shared" si="40"/>
        <v>61</v>
      </c>
      <c r="AM33">
        <v>3</v>
      </c>
      <c r="AN33">
        <v>3</v>
      </c>
      <c r="AO33">
        <v>3</v>
      </c>
      <c r="AP33">
        <v>3</v>
      </c>
      <c r="AQ33">
        <v>2</v>
      </c>
      <c r="AR33">
        <v>3</v>
      </c>
      <c r="AS33">
        <v>3</v>
      </c>
      <c r="AT33">
        <v>4</v>
      </c>
      <c r="AU33">
        <v>4</v>
      </c>
      <c r="AV33">
        <v>3</v>
      </c>
      <c r="AW33">
        <v>3</v>
      </c>
      <c r="AX33">
        <v>1</v>
      </c>
      <c r="AY33">
        <v>4</v>
      </c>
      <c r="AZ33">
        <v>4</v>
      </c>
      <c r="BA33">
        <v>1</v>
      </c>
      <c r="BB33">
        <v>3</v>
      </c>
      <c r="BC33">
        <v>4</v>
      </c>
      <c r="BD33">
        <v>3</v>
      </c>
      <c r="BE33">
        <v>4</v>
      </c>
      <c r="BF33">
        <v>4</v>
      </c>
      <c r="BG33">
        <v>4</v>
      </c>
      <c r="BH33">
        <v>4</v>
      </c>
      <c r="BI33">
        <v>1</v>
      </c>
      <c r="BJ33">
        <v>3</v>
      </c>
      <c r="BK33">
        <v>2</v>
      </c>
      <c r="BL33">
        <v>4</v>
      </c>
      <c r="BM33">
        <v>3</v>
      </c>
      <c r="BN33">
        <v>4</v>
      </c>
      <c r="BO33">
        <v>4</v>
      </c>
      <c r="BP33">
        <v>4</v>
      </c>
      <c r="BQ33">
        <v>2</v>
      </c>
      <c r="BR33">
        <v>2</v>
      </c>
      <c r="BS33">
        <v>3</v>
      </c>
      <c r="BT33">
        <v>2</v>
      </c>
      <c r="BU33">
        <v>4</v>
      </c>
      <c r="BV33">
        <v>2</v>
      </c>
      <c r="BW33">
        <v>4</v>
      </c>
      <c r="BX33">
        <v>4</v>
      </c>
      <c r="BY33">
        <v>2</v>
      </c>
      <c r="BZ33">
        <v>2</v>
      </c>
      <c r="CA33" s="5">
        <f t="shared" si="41"/>
        <v>122</v>
      </c>
      <c r="CB33" s="5">
        <f t="shared" si="36"/>
        <v>3.05</v>
      </c>
      <c r="CC33" s="6">
        <v>1</v>
      </c>
      <c r="CD33">
        <v>1</v>
      </c>
      <c r="CE33">
        <v>1</v>
      </c>
      <c r="CF33">
        <v>1</v>
      </c>
      <c r="CG33">
        <v>1</v>
      </c>
      <c r="CH33" s="20">
        <v>0</v>
      </c>
      <c r="CI33" s="7">
        <f t="shared" si="42"/>
        <v>4</v>
      </c>
      <c r="CJ33">
        <v>1</v>
      </c>
      <c r="CK33">
        <v>2</v>
      </c>
      <c r="CL33">
        <v>2</v>
      </c>
      <c r="CM33">
        <v>2</v>
      </c>
      <c r="CN33">
        <v>2</v>
      </c>
      <c r="CO33">
        <v>1</v>
      </c>
      <c r="CP33">
        <v>2</v>
      </c>
      <c r="CQ33">
        <v>1</v>
      </c>
      <c r="CR33">
        <v>2</v>
      </c>
      <c r="CS33">
        <v>1</v>
      </c>
      <c r="CT33">
        <v>2</v>
      </c>
      <c r="CU33">
        <v>2</v>
      </c>
      <c r="CV33">
        <v>2</v>
      </c>
      <c r="CW33">
        <v>2</v>
      </c>
      <c r="CX33" s="13">
        <f t="shared" si="43"/>
        <v>33</v>
      </c>
      <c r="CY33">
        <v>0</v>
      </c>
      <c r="CZ33">
        <v>1</v>
      </c>
      <c r="DA33">
        <v>1</v>
      </c>
      <c r="DB33">
        <v>1</v>
      </c>
      <c r="DC33">
        <v>0</v>
      </c>
      <c r="DD33">
        <v>1</v>
      </c>
      <c r="DE33">
        <v>1</v>
      </c>
      <c r="DF33">
        <v>1</v>
      </c>
      <c r="DG33">
        <v>0</v>
      </c>
      <c r="DH33">
        <v>1</v>
      </c>
      <c r="DI33" s="14">
        <f t="shared" si="44"/>
        <v>7</v>
      </c>
      <c r="DJ33">
        <v>1</v>
      </c>
      <c r="DK33">
        <v>1</v>
      </c>
      <c r="DL33">
        <v>1</v>
      </c>
      <c r="DM33">
        <v>2</v>
      </c>
      <c r="DN33">
        <v>1</v>
      </c>
      <c r="DO33">
        <v>2</v>
      </c>
      <c r="DP33" s="15">
        <f t="shared" si="45"/>
        <v>8</v>
      </c>
      <c r="DQ33" s="15">
        <f t="shared" si="37"/>
        <v>1.3333333333333333</v>
      </c>
      <c r="DR33">
        <v>2</v>
      </c>
      <c r="DS33">
        <v>2</v>
      </c>
      <c r="DT33">
        <v>1</v>
      </c>
      <c r="DU33">
        <v>1</v>
      </c>
      <c r="DV33">
        <v>2</v>
      </c>
      <c r="DW33">
        <v>1</v>
      </c>
      <c r="DX33">
        <v>2</v>
      </c>
      <c r="DY33">
        <v>2</v>
      </c>
      <c r="DZ33">
        <v>2</v>
      </c>
      <c r="EA33">
        <v>2</v>
      </c>
      <c r="EB33" s="16">
        <f t="shared" si="46"/>
        <v>17</v>
      </c>
      <c r="ED33">
        <v>3</v>
      </c>
      <c r="EE33">
        <v>3</v>
      </c>
      <c r="EF33">
        <v>3</v>
      </c>
      <c r="EG33">
        <v>3</v>
      </c>
      <c r="EH33">
        <v>3</v>
      </c>
      <c r="EI33">
        <v>2</v>
      </c>
      <c r="EJ33">
        <v>2</v>
      </c>
      <c r="EK33">
        <v>2</v>
      </c>
      <c r="EL33">
        <v>5</v>
      </c>
      <c r="EM33">
        <v>1</v>
      </c>
      <c r="EN33">
        <v>3</v>
      </c>
      <c r="EO33">
        <v>6</v>
      </c>
      <c r="EP33">
        <v>6</v>
      </c>
      <c r="EQ33">
        <v>3</v>
      </c>
      <c r="ER33" s="1"/>
      <c r="ES33">
        <v>1</v>
      </c>
      <c r="ET33">
        <v>1</v>
      </c>
      <c r="EU33">
        <v>1</v>
      </c>
      <c r="EV33">
        <v>1</v>
      </c>
      <c r="EW33">
        <v>1</v>
      </c>
      <c r="EX33">
        <v>2</v>
      </c>
      <c r="EY33">
        <v>1</v>
      </c>
      <c r="EZ33">
        <v>2</v>
      </c>
      <c r="FA33">
        <v>1</v>
      </c>
      <c r="FB33">
        <v>0</v>
      </c>
      <c r="FC33">
        <v>1</v>
      </c>
      <c r="FD33">
        <v>2</v>
      </c>
      <c r="FE33">
        <v>2</v>
      </c>
      <c r="FF33">
        <v>1</v>
      </c>
      <c r="FG33">
        <v>0</v>
      </c>
      <c r="FH33">
        <v>0</v>
      </c>
      <c r="FI33">
        <v>2</v>
      </c>
      <c r="FJ33">
        <v>1</v>
      </c>
      <c r="FK33">
        <v>1</v>
      </c>
      <c r="FL33">
        <v>1</v>
      </c>
      <c r="FM33" s="12">
        <f t="shared" si="47"/>
        <v>22</v>
      </c>
      <c r="FN33">
        <v>2</v>
      </c>
      <c r="FO33">
        <v>1</v>
      </c>
      <c r="FP33">
        <v>1</v>
      </c>
      <c r="FQ33">
        <v>2</v>
      </c>
      <c r="FR33">
        <v>2</v>
      </c>
      <c r="FS33">
        <v>2</v>
      </c>
      <c r="FT33">
        <v>2</v>
      </c>
      <c r="FU33">
        <v>2</v>
      </c>
      <c r="FV33">
        <v>1</v>
      </c>
      <c r="FW33">
        <v>1</v>
      </c>
      <c r="FX33">
        <v>2</v>
      </c>
      <c r="FY33">
        <v>2</v>
      </c>
      <c r="FZ33">
        <v>3</v>
      </c>
      <c r="GA33">
        <v>3</v>
      </c>
      <c r="GB33">
        <v>2</v>
      </c>
      <c r="GC33">
        <v>2</v>
      </c>
      <c r="GD33">
        <v>3</v>
      </c>
      <c r="GE33">
        <v>3</v>
      </c>
      <c r="GF33">
        <v>2</v>
      </c>
      <c r="GG33">
        <v>2</v>
      </c>
      <c r="GH33">
        <v>2</v>
      </c>
      <c r="GI33">
        <v>2</v>
      </c>
      <c r="GJ33">
        <v>2</v>
      </c>
      <c r="GK33">
        <v>2</v>
      </c>
      <c r="GL33">
        <v>1</v>
      </c>
      <c r="GM33">
        <v>2</v>
      </c>
      <c r="GN33">
        <v>1</v>
      </c>
      <c r="GO33">
        <v>2</v>
      </c>
      <c r="GP33">
        <v>2</v>
      </c>
      <c r="GQ33">
        <v>2</v>
      </c>
      <c r="GR33">
        <v>1</v>
      </c>
      <c r="GS33">
        <v>1</v>
      </c>
      <c r="GT33">
        <v>1</v>
      </c>
      <c r="GU33">
        <v>1</v>
      </c>
      <c r="GV33">
        <v>2</v>
      </c>
      <c r="GW33">
        <v>1</v>
      </c>
      <c r="GX33">
        <v>3</v>
      </c>
      <c r="GY33">
        <v>2</v>
      </c>
      <c r="GZ33">
        <v>1</v>
      </c>
      <c r="HA33">
        <v>1</v>
      </c>
      <c r="HB33" s="5">
        <f t="shared" si="48"/>
        <v>72</v>
      </c>
      <c r="HC33" s="5">
        <f t="shared" si="38"/>
        <v>1.8</v>
      </c>
      <c r="HD33" s="6">
        <v>1</v>
      </c>
      <c r="HE33">
        <v>1</v>
      </c>
      <c r="HF33">
        <v>0</v>
      </c>
      <c r="HG33">
        <v>0</v>
      </c>
      <c r="HH33">
        <v>1</v>
      </c>
      <c r="HI33">
        <v>0</v>
      </c>
      <c r="HJ33" s="7">
        <f t="shared" si="49"/>
        <v>2</v>
      </c>
      <c r="HK33">
        <v>2</v>
      </c>
      <c r="HL33">
        <v>2</v>
      </c>
      <c r="HM33">
        <v>2</v>
      </c>
      <c r="HN33">
        <v>2</v>
      </c>
      <c r="HO33">
        <v>2</v>
      </c>
      <c r="HP33">
        <v>1</v>
      </c>
      <c r="HQ33">
        <v>2</v>
      </c>
      <c r="HR33">
        <v>2</v>
      </c>
      <c r="HS33">
        <v>2</v>
      </c>
      <c r="HT33">
        <v>2</v>
      </c>
      <c r="HU33">
        <v>1</v>
      </c>
      <c r="HV33">
        <v>2</v>
      </c>
      <c r="HW33">
        <v>1</v>
      </c>
      <c r="HX33">
        <v>2</v>
      </c>
      <c r="HY33" s="13">
        <f t="shared" ref="HY33:HY40" si="52">SUM(HK33:HX33)</f>
        <v>25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 s="14">
        <f t="shared" si="50"/>
        <v>10</v>
      </c>
      <c r="IK33">
        <v>2</v>
      </c>
      <c r="IL33">
        <v>2</v>
      </c>
      <c r="IM33">
        <v>2</v>
      </c>
      <c r="IN33">
        <v>2</v>
      </c>
      <c r="IO33">
        <v>2</v>
      </c>
      <c r="IP33">
        <v>2</v>
      </c>
      <c r="IQ33" s="15">
        <f t="shared" si="51"/>
        <v>12</v>
      </c>
      <c r="IR33" s="15">
        <f t="shared" si="39"/>
        <v>2</v>
      </c>
      <c r="IS33">
        <v>1</v>
      </c>
      <c r="IT33">
        <v>1</v>
      </c>
      <c r="IU33">
        <v>2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2</v>
      </c>
      <c r="JB33">
        <v>1</v>
      </c>
      <c r="JC33" s="16">
        <v>12</v>
      </c>
    </row>
    <row r="34" spans="1:263" x14ac:dyDescent="0.25">
      <c r="A34" t="s">
        <v>77</v>
      </c>
      <c r="B34" s="40"/>
      <c r="C34">
        <v>3</v>
      </c>
      <c r="D34">
        <v>3</v>
      </c>
      <c r="E34">
        <v>3</v>
      </c>
      <c r="F34">
        <v>3</v>
      </c>
      <c r="G34">
        <v>6</v>
      </c>
      <c r="H34">
        <v>1</v>
      </c>
      <c r="I34">
        <v>5</v>
      </c>
      <c r="J34">
        <v>3</v>
      </c>
      <c r="K34">
        <v>5</v>
      </c>
      <c r="L34">
        <v>1</v>
      </c>
      <c r="M34">
        <v>5</v>
      </c>
      <c r="N34">
        <v>6</v>
      </c>
      <c r="O34">
        <v>1</v>
      </c>
      <c r="P34">
        <v>3</v>
      </c>
      <c r="Q34" s="1"/>
      <c r="R34" s="25">
        <v>1</v>
      </c>
      <c r="S34" s="25">
        <v>0</v>
      </c>
      <c r="T34" s="25">
        <v>0</v>
      </c>
      <c r="U34" s="25">
        <v>1</v>
      </c>
      <c r="V34" s="25">
        <v>0</v>
      </c>
      <c r="W34" s="6">
        <v>0</v>
      </c>
      <c r="X34" s="6">
        <v>0</v>
      </c>
      <c r="Y34" s="38">
        <v>1</v>
      </c>
      <c r="Z34" s="38">
        <v>0</v>
      </c>
      <c r="AA34" s="38">
        <v>0</v>
      </c>
      <c r="AB34" s="38">
        <v>2</v>
      </c>
      <c r="AC34" s="38">
        <v>1</v>
      </c>
      <c r="AD34" s="38">
        <v>0</v>
      </c>
      <c r="AE34" s="38">
        <v>0</v>
      </c>
      <c r="AF34" s="35">
        <v>0</v>
      </c>
      <c r="AG34" s="35">
        <v>0</v>
      </c>
      <c r="AH34" s="35">
        <v>0</v>
      </c>
      <c r="AI34" s="35">
        <v>0</v>
      </c>
      <c r="AJ34" s="35">
        <v>0</v>
      </c>
      <c r="AK34" s="35">
        <v>3</v>
      </c>
      <c r="AL34" s="12">
        <f t="shared" si="40"/>
        <v>9</v>
      </c>
      <c r="AM34">
        <v>1</v>
      </c>
      <c r="AN34">
        <v>1</v>
      </c>
      <c r="AO34">
        <v>2</v>
      </c>
      <c r="AP34">
        <v>1</v>
      </c>
      <c r="AQ34">
        <v>2</v>
      </c>
      <c r="AR34">
        <v>3</v>
      </c>
      <c r="AS34">
        <v>1</v>
      </c>
      <c r="AT34">
        <v>3</v>
      </c>
      <c r="AU34">
        <v>1</v>
      </c>
      <c r="AV34">
        <v>1</v>
      </c>
      <c r="AW34">
        <v>1</v>
      </c>
      <c r="AX34">
        <v>1</v>
      </c>
      <c r="AY34">
        <v>2</v>
      </c>
      <c r="AZ34">
        <v>2</v>
      </c>
      <c r="BA34">
        <v>2</v>
      </c>
      <c r="BB34">
        <v>1</v>
      </c>
      <c r="BC34">
        <v>2</v>
      </c>
      <c r="BD34">
        <v>1</v>
      </c>
      <c r="BE34">
        <v>3</v>
      </c>
      <c r="BF34">
        <v>2</v>
      </c>
      <c r="BG34">
        <v>2</v>
      </c>
      <c r="BH34">
        <v>1</v>
      </c>
      <c r="BI34">
        <v>3</v>
      </c>
      <c r="BJ34">
        <v>1</v>
      </c>
      <c r="BK34">
        <v>1</v>
      </c>
      <c r="BL34">
        <v>2</v>
      </c>
      <c r="BM34">
        <v>1</v>
      </c>
      <c r="BN34">
        <v>1</v>
      </c>
      <c r="BO34">
        <v>2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2</v>
      </c>
      <c r="BV34">
        <v>1</v>
      </c>
      <c r="BW34">
        <v>3</v>
      </c>
      <c r="BX34">
        <v>2</v>
      </c>
      <c r="BY34">
        <v>1</v>
      </c>
      <c r="BZ34">
        <v>1</v>
      </c>
      <c r="CA34" s="5">
        <f t="shared" si="41"/>
        <v>62</v>
      </c>
      <c r="CB34" s="5">
        <f t="shared" si="36"/>
        <v>1.55</v>
      </c>
      <c r="CC34" s="6">
        <v>1</v>
      </c>
      <c r="CD34">
        <v>1</v>
      </c>
      <c r="CE34">
        <v>1</v>
      </c>
      <c r="CF34">
        <v>1</v>
      </c>
      <c r="CG34">
        <v>1</v>
      </c>
      <c r="CH34" s="20">
        <v>0</v>
      </c>
      <c r="CI34" s="7">
        <f t="shared" si="42"/>
        <v>4</v>
      </c>
      <c r="CJ34">
        <v>3</v>
      </c>
      <c r="CK34">
        <v>4</v>
      </c>
      <c r="CL34">
        <v>3</v>
      </c>
      <c r="CM34">
        <v>4</v>
      </c>
      <c r="CN34">
        <v>3</v>
      </c>
      <c r="CO34">
        <v>3</v>
      </c>
      <c r="CP34">
        <v>3</v>
      </c>
      <c r="CQ34">
        <v>3</v>
      </c>
      <c r="CR34">
        <v>4</v>
      </c>
      <c r="CS34">
        <v>3</v>
      </c>
      <c r="CT34">
        <v>3</v>
      </c>
      <c r="CU34">
        <v>4</v>
      </c>
      <c r="CV34">
        <v>3</v>
      </c>
      <c r="CW34">
        <v>4</v>
      </c>
      <c r="CX34" s="13">
        <f t="shared" si="43"/>
        <v>56</v>
      </c>
      <c r="CY34">
        <v>2</v>
      </c>
      <c r="CZ34">
        <v>2</v>
      </c>
      <c r="DA34">
        <v>3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1</v>
      </c>
      <c r="DH34">
        <v>2</v>
      </c>
      <c r="DI34" s="14">
        <f t="shared" si="44"/>
        <v>20</v>
      </c>
      <c r="DJ34">
        <v>4</v>
      </c>
      <c r="DK34">
        <v>4</v>
      </c>
      <c r="DL34">
        <v>4</v>
      </c>
      <c r="DM34">
        <v>4</v>
      </c>
      <c r="DN34">
        <v>4</v>
      </c>
      <c r="DO34">
        <v>4</v>
      </c>
      <c r="DP34" s="15">
        <f t="shared" si="45"/>
        <v>24</v>
      </c>
      <c r="DQ34" s="15">
        <f t="shared" si="37"/>
        <v>4</v>
      </c>
      <c r="DR34">
        <v>3</v>
      </c>
      <c r="DS34">
        <v>2</v>
      </c>
      <c r="DT34">
        <v>2</v>
      </c>
      <c r="DU34">
        <v>3</v>
      </c>
      <c r="DV34">
        <v>2</v>
      </c>
      <c r="DW34">
        <v>2</v>
      </c>
      <c r="DX34">
        <v>2</v>
      </c>
      <c r="DY34">
        <v>2</v>
      </c>
      <c r="DZ34">
        <v>2</v>
      </c>
      <c r="EA34">
        <v>3</v>
      </c>
      <c r="EB34" s="16">
        <f t="shared" si="46"/>
        <v>23</v>
      </c>
      <c r="ED34">
        <v>3</v>
      </c>
      <c r="EE34">
        <v>3</v>
      </c>
      <c r="EF34">
        <v>3</v>
      </c>
      <c r="EG34">
        <v>3</v>
      </c>
      <c r="EH34">
        <v>1</v>
      </c>
      <c r="EI34">
        <v>1</v>
      </c>
      <c r="EJ34">
        <v>2</v>
      </c>
      <c r="EK34">
        <v>2</v>
      </c>
      <c r="EL34">
        <v>3</v>
      </c>
      <c r="EM34">
        <v>1</v>
      </c>
      <c r="EN34">
        <v>3</v>
      </c>
      <c r="EO34">
        <v>6</v>
      </c>
      <c r="EP34">
        <v>3</v>
      </c>
      <c r="EQ34">
        <v>3</v>
      </c>
      <c r="ER34" s="1"/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0</v>
      </c>
      <c r="FL34">
        <v>1</v>
      </c>
      <c r="FM34" s="12">
        <f t="shared" si="47"/>
        <v>4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 s="5">
        <f t="shared" si="48"/>
        <v>40</v>
      </c>
      <c r="HC34" s="5">
        <f t="shared" si="38"/>
        <v>1</v>
      </c>
      <c r="HD34" s="6">
        <v>1</v>
      </c>
      <c r="HE34">
        <v>0</v>
      </c>
      <c r="HF34">
        <v>0</v>
      </c>
      <c r="HG34">
        <v>0</v>
      </c>
      <c r="HH34">
        <v>0</v>
      </c>
      <c r="HI34">
        <v>0</v>
      </c>
      <c r="HJ34" s="7">
        <f t="shared" si="49"/>
        <v>0</v>
      </c>
      <c r="HK34">
        <v>3</v>
      </c>
      <c r="HL34">
        <v>4</v>
      </c>
      <c r="HM34">
        <v>2</v>
      </c>
      <c r="HN34">
        <v>4</v>
      </c>
      <c r="HO34">
        <v>3</v>
      </c>
      <c r="HP34">
        <v>3</v>
      </c>
      <c r="HQ34">
        <v>3</v>
      </c>
      <c r="HR34">
        <v>3</v>
      </c>
      <c r="HS34">
        <v>4</v>
      </c>
      <c r="HT34">
        <v>3</v>
      </c>
      <c r="HU34">
        <v>3</v>
      </c>
      <c r="HV34">
        <v>4</v>
      </c>
      <c r="HW34">
        <v>3</v>
      </c>
      <c r="HX34">
        <v>3</v>
      </c>
      <c r="HY34" s="13">
        <f t="shared" si="52"/>
        <v>45</v>
      </c>
      <c r="HZ34">
        <v>2</v>
      </c>
      <c r="IA34">
        <v>2</v>
      </c>
      <c r="IB34">
        <v>2</v>
      </c>
      <c r="IC34">
        <v>2</v>
      </c>
      <c r="ID34">
        <v>2</v>
      </c>
      <c r="IE34">
        <v>2</v>
      </c>
      <c r="IF34">
        <v>2</v>
      </c>
      <c r="IG34">
        <v>2</v>
      </c>
      <c r="IH34">
        <v>2</v>
      </c>
      <c r="II34">
        <v>2</v>
      </c>
      <c r="IJ34" s="14">
        <f t="shared" si="50"/>
        <v>20</v>
      </c>
      <c r="IK34">
        <v>4</v>
      </c>
      <c r="IL34">
        <v>4</v>
      </c>
      <c r="IM34">
        <v>4</v>
      </c>
      <c r="IN34">
        <v>4</v>
      </c>
      <c r="IO34">
        <v>4</v>
      </c>
      <c r="IP34">
        <v>4</v>
      </c>
      <c r="IQ34" s="15">
        <f t="shared" si="51"/>
        <v>24</v>
      </c>
      <c r="IR34" s="15">
        <f t="shared" si="39"/>
        <v>4</v>
      </c>
      <c r="IS34">
        <v>3</v>
      </c>
      <c r="IT34">
        <v>3</v>
      </c>
      <c r="IU34">
        <v>3</v>
      </c>
      <c r="IV34">
        <v>3</v>
      </c>
      <c r="IW34">
        <v>3</v>
      </c>
      <c r="IX34">
        <v>3</v>
      </c>
      <c r="IY34">
        <v>3</v>
      </c>
      <c r="IZ34">
        <v>3</v>
      </c>
      <c r="JA34">
        <v>3</v>
      </c>
      <c r="JB34">
        <v>3</v>
      </c>
      <c r="JC34" s="16">
        <v>30</v>
      </c>
    </row>
    <row r="35" spans="1:263" x14ac:dyDescent="0.25">
      <c r="A35" t="s">
        <v>78</v>
      </c>
      <c r="B35" s="40"/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2</v>
      </c>
      <c r="J35">
        <v>1</v>
      </c>
      <c r="K35">
        <v>5</v>
      </c>
      <c r="L35">
        <v>1</v>
      </c>
      <c r="M35">
        <v>2</v>
      </c>
      <c r="N35">
        <v>1</v>
      </c>
      <c r="O35">
        <v>1</v>
      </c>
      <c r="P35">
        <v>3</v>
      </c>
      <c r="Q35" s="1"/>
      <c r="R35" s="25">
        <v>3</v>
      </c>
      <c r="S35" s="25">
        <v>3</v>
      </c>
      <c r="T35" s="25">
        <v>3</v>
      </c>
      <c r="U35" s="25">
        <v>3</v>
      </c>
      <c r="V35" s="25">
        <v>3</v>
      </c>
      <c r="W35" s="6">
        <v>3</v>
      </c>
      <c r="X35" s="6">
        <v>3</v>
      </c>
      <c r="Y35" s="38">
        <v>2</v>
      </c>
      <c r="Z35" s="38">
        <v>2</v>
      </c>
      <c r="AA35" s="38">
        <v>0</v>
      </c>
      <c r="AB35" s="38">
        <v>2</v>
      </c>
      <c r="AC35" s="38">
        <v>3</v>
      </c>
      <c r="AD35" s="38">
        <v>2</v>
      </c>
      <c r="AE35" s="38">
        <v>3</v>
      </c>
      <c r="AF35" s="35">
        <v>2</v>
      </c>
      <c r="AG35" s="35">
        <v>0</v>
      </c>
      <c r="AH35" s="35">
        <v>3</v>
      </c>
      <c r="AI35" s="35">
        <v>4</v>
      </c>
      <c r="AJ35" s="35">
        <v>3</v>
      </c>
      <c r="AK35" s="35">
        <v>4</v>
      </c>
      <c r="AL35" s="12">
        <f t="shared" si="40"/>
        <v>51</v>
      </c>
      <c r="AM35">
        <v>3</v>
      </c>
      <c r="AN35">
        <v>2</v>
      </c>
      <c r="AO35">
        <v>3</v>
      </c>
      <c r="AP35">
        <v>2</v>
      </c>
      <c r="AQ35">
        <v>1</v>
      </c>
      <c r="AR35">
        <v>3</v>
      </c>
      <c r="AS35">
        <v>4</v>
      </c>
      <c r="AT35">
        <v>4</v>
      </c>
      <c r="AU35">
        <v>3</v>
      </c>
      <c r="AV35">
        <v>3</v>
      </c>
      <c r="AW35">
        <v>3</v>
      </c>
      <c r="AX35">
        <v>1</v>
      </c>
      <c r="AY35">
        <v>3</v>
      </c>
      <c r="AZ35">
        <v>3</v>
      </c>
      <c r="BA35">
        <v>3</v>
      </c>
      <c r="BB35">
        <v>2</v>
      </c>
      <c r="BC35">
        <v>3</v>
      </c>
      <c r="BD35">
        <v>2</v>
      </c>
      <c r="BE35">
        <v>3</v>
      </c>
      <c r="BF35">
        <v>3</v>
      </c>
      <c r="BG35">
        <v>3</v>
      </c>
      <c r="BH35">
        <v>3</v>
      </c>
      <c r="BI35">
        <v>2</v>
      </c>
      <c r="BJ35">
        <v>2</v>
      </c>
      <c r="BK35">
        <v>1</v>
      </c>
      <c r="BL35">
        <v>2</v>
      </c>
      <c r="BM35">
        <v>1</v>
      </c>
      <c r="BN35">
        <v>3</v>
      </c>
      <c r="BO35">
        <v>3</v>
      </c>
      <c r="BP35">
        <v>2</v>
      </c>
      <c r="BQ35">
        <v>1</v>
      </c>
      <c r="BR35">
        <v>1</v>
      </c>
      <c r="BS35">
        <v>1</v>
      </c>
      <c r="BT35">
        <v>1</v>
      </c>
      <c r="BU35">
        <v>3</v>
      </c>
      <c r="BV35">
        <v>1</v>
      </c>
      <c r="BW35">
        <v>2</v>
      </c>
      <c r="BX35">
        <v>3</v>
      </c>
      <c r="BY35">
        <v>1</v>
      </c>
      <c r="BZ35">
        <v>3</v>
      </c>
      <c r="CA35" s="5">
        <f t="shared" si="41"/>
        <v>93</v>
      </c>
      <c r="CB35" s="5">
        <f t="shared" si="36"/>
        <v>2.3250000000000002</v>
      </c>
      <c r="CC35" s="6">
        <v>1</v>
      </c>
      <c r="CD35">
        <v>1</v>
      </c>
      <c r="CE35">
        <v>1</v>
      </c>
      <c r="CF35">
        <v>1</v>
      </c>
      <c r="CG35">
        <v>1</v>
      </c>
      <c r="CH35" s="20">
        <v>0</v>
      </c>
      <c r="CI35" s="7">
        <f t="shared" si="42"/>
        <v>4</v>
      </c>
      <c r="CJ35">
        <v>2</v>
      </c>
      <c r="CK35">
        <v>2</v>
      </c>
      <c r="CL35">
        <v>2</v>
      </c>
      <c r="CM35">
        <v>3</v>
      </c>
      <c r="CN35">
        <v>2</v>
      </c>
      <c r="CO35">
        <v>2</v>
      </c>
      <c r="CP35">
        <v>2</v>
      </c>
      <c r="CQ35">
        <v>2</v>
      </c>
      <c r="CR35">
        <v>4</v>
      </c>
      <c r="CS35">
        <v>2</v>
      </c>
      <c r="CT35">
        <v>2</v>
      </c>
      <c r="CU35">
        <v>3</v>
      </c>
      <c r="CV35">
        <v>2</v>
      </c>
      <c r="CW35">
        <v>2</v>
      </c>
      <c r="CX35" s="13">
        <f t="shared" si="43"/>
        <v>41</v>
      </c>
      <c r="CY35">
        <v>2</v>
      </c>
      <c r="CZ35">
        <v>2</v>
      </c>
      <c r="DA35">
        <v>1</v>
      </c>
      <c r="DB35">
        <v>1</v>
      </c>
      <c r="DC35">
        <v>1</v>
      </c>
      <c r="DD35">
        <v>1</v>
      </c>
      <c r="DE35">
        <v>2</v>
      </c>
      <c r="DF35">
        <v>1</v>
      </c>
      <c r="DG35">
        <v>1</v>
      </c>
      <c r="DH35">
        <v>1</v>
      </c>
      <c r="DI35" s="14">
        <f t="shared" si="44"/>
        <v>13</v>
      </c>
      <c r="DJ35">
        <v>2</v>
      </c>
      <c r="DK35">
        <v>2</v>
      </c>
      <c r="DL35">
        <v>2</v>
      </c>
      <c r="DM35">
        <v>2</v>
      </c>
      <c r="DN35">
        <v>2</v>
      </c>
      <c r="DO35">
        <v>2</v>
      </c>
      <c r="DP35" s="15">
        <f t="shared" si="45"/>
        <v>12</v>
      </c>
      <c r="DQ35" s="15">
        <f t="shared" si="37"/>
        <v>2</v>
      </c>
      <c r="DR35">
        <v>2</v>
      </c>
      <c r="DS35">
        <v>2</v>
      </c>
      <c r="DT35">
        <v>2</v>
      </c>
      <c r="DU35">
        <v>2</v>
      </c>
      <c r="DV35">
        <v>2</v>
      </c>
      <c r="DW35">
        <v>2</v>
      </c>
      <c r="DX35">
        <v>2</v>
      </c>
      <c r="DY35">
        <v>1</v>
      </c>
      <c r="DZ35">
        <v>1</v>
      </c>
      <c r="EA35">
        <v>2</v>
      </c>
      <c r="EB35" s="16">
        <f t="shared" si="46"/>
        <v>18</v>
      </c>
      <c r="ED35">
        <v>3</v>
      </c>
      <c r="EE35">
        <v>3</v>
      </c>
      <c r="EF35">
        <v>3</v>
      </c>
      <c r="EG35">
        <v>3</v>
      </c>
      <c r="EH35">
        <v>3</v>
      </c>
      <c r="EI35">
        <v>2</v>
      </c>
      <c r="EJ35">
        <v>2</v>
      </c>
      <c r="EK35">
        <v>2</v>
      </c>
      <c r="EL35">
        <v>2</v>
      </c>
      <c r="EM35">
        <v>1</v>
      </c>
      <c r="EN35">
        <v>3</v>
      </c>
      <c r="EO35">
        <v>6</v>
      </c>
      <c r="EP35">
        <v>1</v>
      </c>
      <c r="EQ35">
        <v>3</v>
      </c>
      <c r="ER35" s="1"/>
      <c r="ES35">
        <v>2</v>
      </c>
      <c r="ET35">
        <v>1</v>
      </c>
      <c r="EU35">
        <v>1</v>
      </c>
      <c r="EV35">
        <v>1</v>
      </c>
      <c r="EW35">
        <v>2</v>
      </c>
      <c r="EX35">
        <v>1</v>
      </c>
      <c r="EY35">
        <v>1</v>
      </c>
      <c r="EZ35">
        <v>0</v>
      </c>
      <c r="FA35">
        <v>0</v>
      </c>
      <c r="FB35">
        <v>0</v>
      </c>
      <c r="FC35">
        <v>1</v>
      </c>
      <c r="FD35">
        <v>1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2</v>
      </c>
      <c r="FK35">
        <v>1</v>
      </c>
      <c r="FL35">
        <v>2</v>
      </c>
      <c r="FM35" s="12">
        <f t="shared" si="47"/>
        <v>17</v>
      </c>
      <c r="FN35">
        <v>2</v>
      </c>
      <c r="FO35">
        <v>1</v>
      </c>
      <c r="FP35">
        <v>2</v>
      </c>
      <c r="FQ35">
        <v>1</v>
      </c>
      <c r="FR35">
        <v>1</v>
      </c>
      <c r="FS35">
        <v>2</v>
      </c>
      <c r="FT35">
        <v>1</v>
      </c>
      <c r="FU35">
        <v>2</v>
      </c>
      <c r="FV35">
        <v>1</v>
      </c>
      <c r="FW35">
        <v>1</v>
      </c>
      <c r="FX35">
        <v>1</v>
      </c>
      <c r="FY35">
        <v>1</v>
      </c>
      <c r="FZ35">
        <v>2</v>
      </c>
      <c r="GA35">
        <v>2</v>
      </c>
      <c r="GB35">
        <v>2</v>
      </c>
      <c r="GC35">
        <v>2</v>
      </c>
      <c r="GD35">
        <v>2</v>
      </c>
      <c r="GE35">
        <v>2</v>
      </c>
      <c r="GF35">
        <v>2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2</v>
      </c>
      <c r="GN35">
        <v>1</v>
      </c>
      <c r="GO35">
        <v>1</v>
      </c>
      <c r="GP35">
        <v>2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2</v>
      </c>
      <c r="GW35">
        <v>1</v>
      </c>
      <c r="GX35">
        <v>2</v>
      </c>
      <c r="GY35">
        <v>2</v>
      </c>
      <c r="GZ35">
        <v>1</v>
      </c>
      <c r="HA35">
        <v>1</v>
      </c>
      <c r="HB35" s="5">
        <f t="shared" si="48"/>
        <v>56</v>
      </c>
      <c r="HC35" s="5">
        <f t="shared" si="38"/>
        <v>1.4</v>
      </c>
      <c r="HD35" s="6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 s="7">
        <f t="shared" si="49"/>
        <v>0</v>
      </c>
      <c r="HK35">
        <v>3</v>
      </c>
      <c r="HL35">
        <v>3</v>
      </c>
      <c r="HM35">
        <v>3</v>
      </c>
      <c r="HN35">
        <v>4</v>
      </c>
      <c r="HO35">
        <v>2</v>
      </c>
      <c r="HP35">
        <v>2</v>
      </c>
      <c r="HQ35">
        <v>2</v>
      </c>
      <c r="HR35">
        <v>2</v>
      </c>
      <c r="HS35">
        <v>4</v>
      </c>
      <c r="HT35">
        <v>3</v>
      </c>
      <c r="HU35">
        <v>2</v>
      </c>
      <c r="HV35">
        <v>3</v>
      </c>
      <c r="HW35">
        <v>3</v>
      </c>
      <c r="HX35">
        <v>2</v>
      </c>
      <c r="HY35" s="13">
        <f>SUM(HK35:HX35)</f>
        <v>38</v>
      </c>
      <c r="HZ35">
        <v>2</v>
      </c>
      <c r="IA35">
        <v>2</v>
      </c>
      <c r="IB35">
        <v>2</v>
      </c>
      <c r="IC35">
        <v>1</v>
      </c>
      <c r="ID35">
        <v>1</v>
      </c>
      <c r="IE35">
        <v>1</v>
      </c>
      <c r="IF35">
        <v>2</v>
      </c>
      <c r="IG35">
        <v>2</v>
      </c>
      <c r="IH35">
        <v>2</v>
      </c>
      <c r="II35">
        <v>2</v>
      </c>
      <c r="IJ35" s="14">
        <f t="shared" si="50"/>
        <v>17</v>
      </c>
      <c r="IK35">
        <v>2</v>
      </c>
      <c r="IL35">
        <v>2</v>
      </c>
      <c r="IM35">
        <v>2</v>
      </c>
      <c r="IN35">
        <v>2</v>
      </c>
      <c r="IO35">
        <v>2</v>
      </c>
      <c r="IP35">
        <v>2</v>
      </c>
      <c r="IQ35" s="15">
        <f t="shared" si="51"/>
        <v>12</v>
      </c>
      <c r="IR35" s="15">
        <f t="shared" si="39"/>
        <v>2</v>
      </c>
      <c r="IS35">
        <v>2</v>
      </c>
      <c r="IT35">
        <v>2</v>
      </c>
      <c r="IU35">
        <v>2</v>
      </c>
      <c r="IV35">
        <v>2</v>
      </c>
      <c r="IW35">
        <v>2</v>
      </c>
      <c r="IX35">
        <v>2</v>
      </c>
      <c r="IY35">
        <v>2</v>
      </c>
      <c r="IZ35">
        <v>2</v>
      </c>
      <c r="JA35">
        <v>2</v>
      </c>
      <c r="JB35">
        <v>2</v>
      </c>
      <c r="JC35" s="16">
        <v>20</v>
      </c>
    </row>
    <row r="36" spans="1:263" x14ac:dyDescent="0.25">
      <c r="A36" t="s">
        <v>79</v>
      </c>
      <c r="B36" s="40"/>
      <c r="C36">
        <v>3</v>
      </c>
      <c r="D36">
        <v>3</v>
      </c>
      <c r="E36">
        <v>3</v>
      </c>
      <c r="F36">
        <v>3</v>
      </c>
      <c r="G36">
        <v>3</v>
      </c>
      <c r="H36">
        <v>2</v>
      </c>
      <c r="I36">
        <v>2</v>
      </c>
      <c r="J36">
        <v>1</v>
      </c>
      <c r="K36">
        <v>5</v>
      </c>
      <c r="L36">
        <v>1</v>
      </c>
      <c r="M36">
        <v>2</v>
      </c>
      <c r="N36">
        <v>6</v>
      </c>
      <c r="O36">
        <v>1</v>
      </c>
      <c r="P36">
        <v>3</v>
      </c>
      <c r="Q36" s="1"/>
      <c r="R36" s="25">
        <v>3</v>
      </c>
      <c r="S36" s="25">
        <v>3</v>
      </c>
      <c r="T36" s="25">
        <v>2</v>
      </c>
      <c r="U36" s="25">
        <v>3</v>
      </c>
      <c r="V36" s="25">
        <v>3</v>
      </c>
      <c r="W36" s="6">
        <v>2</v>
      </c>
      <c r="X36" s="6">
        <v>1</v>
      </c>
      <c r="Y36" s="38">
        <v>1</v>
      </c>
      <c r="Z36" s="38">
        <v>1</v>
      </c>
      <c r="AA36" s="38">
        <v>0</v>
      </c>
      <c r="AB36" s="38">
        <v>3</v>
      </c>
      <c r="AC36" s="38">
        <v>2</v>
      </c>
      <c r="AD36" s="38">
        <v>2</v>
      </c>
      <c r="AE36" s="38">
        <v>2</v>
      </c>
      <c r="AF36" s="35">
        <v>3</v>
      </c>
      <c r="AG36" s="35">
        <v>0</v>
      </c>
      <c r="AH36" s="35">
        <v>2</v>
      </c>
      <c r="AI36" s="35">
        <v>2</v>
      </c>
      <c r="AJ36" s="35">
        <v>3</v>
      </c>
      <c r="AK36" s="35">
        <v>3</v>
      </c>
      <c r="AL36" s="12">
        <f t="shared" si="40"/>
        <v>41</v>
      </c>
      <c r="AM36">
        <v>3</v>
      </c>
      <c r="AN36">
        <v>1</v>
      </c>
      <c r="AO36">
        <v>2</v>
      </c>
      <c r="AP36">
        <v>2</v>
      </c>
      <c r="AQ36">
        <v>1</v>
      </c>
      <c r="AR36">
        <v>3</v>
      </c>
      <c r="AS36">
        <v>3</v>
      </c>
      <c r="AT36">
        <v>3</v>
      </c>
      <c r="AU36">
        <v>2</v>
      </c>
      <c r="AV36">
        <v>3</v>
      </c>
      <c r="AW36">
        <v>1</v>
      </c>
      <c r="AX36">
        <v>1</v>
      </c>
      <c r="AY36">
        <v>2</v>
      </c>
      <c r="AZ36">
        <v>3</v>
      </c>
      <c r="BA36">
        <v>2</v>
      </c>
      <c r="BB36">
        <v>1</v>
      </c>
      <c r="BC36">
        <v>3</v>
      </c>
      <c r="BD36">
        <v>1</v>
      </c>
      <c r="BE36">
        <v>3</v>
      </c>
      <c r="BF36">
        <v>3</v>
      </c>
      <c r="BG36">
        <v>3</v>
      </c>
      <c r="BH36">
        <v>1</v>
      </c>
      <c r="BI36">
        <v>3</v>
      </c>
      <c r="BJ36">
        <v>2</v>
      </c>
      <c r="BK36">
        <v>1</v>
      </c>
      <c r="BL36">
        <v>2</v>
      </c>
      <c r="BM36">
        <v>1</v>
      </c>
      <c r="BN36">
        <v>2</v>
      </c>
      <c r="BO36">
        <v>2</v>
      </c>
      <c r="BP36">
        <v>2</v>
      </c>
      <c r="BQ36">
        <v>1</v>
      </c>
      <c r="BR36">
        <v>1</v>
      </c>
      <c r="BS36">
        <v>1</v>
      </c>
      <c r="BT36">
        <v>1</v>
      </c>
      <c r="BU36">
        <v>2</v>
      </c>
      <c r="BV36">
        <v>1</v>
      </c>
      <c r="BW36">
        <v>2</v>
      </c>
      <c r="BX36">
        <v>2</v>
      </c>
      <c r="BY36">
        <v>1</v>
      </c>
      <c r="BZ36">
        <v>1</v>
      </c>
      <c r="CA36" s="5">
        <f t="shared" si="41"/>
        <v>75</v>
      </c>
      <c r="CB36" s="5">
        <f t="shared" si="36"/>
        <v>1.875</v>
      </c>
      <c r="CC36" s="6">
        <v>1</v>
      </c>
      <c r="CD36">
        <v>1</v>
      </c>
      <c r="CE36">
        <v>1</v>
      </c>
      <c r="CF36">
        <v>1</v>
      </c>
      <c r="CG36">
        <v>1</v>
      </c>
      <c r="CH36" s="20">
        <v>0</v>
      </c>
      <c r="CI36" s="7">
        <f t="shared" si="42"/>
        <v>4</v>
      </c>
      <c r="CJ36">
        <v>3</v>
      </c>
      <c r="CK36">
        <v>3</v>
      </c>
      <c r="CL36">
        <v>2</v>
      </c>
      <c r="CM36">
        <v>3</v>
      </c>
      <c r="CN36">
        <v>2</v>
      </c>
      <c r="CO36">
        <v>3</v>
      </c>
      <c r="CP36">
        <v>3</v>
      </c>
      <c r="CQ36">
        <v>2</v>
      </c>
      <c r="CR36">
        <v>4</v>
      </c>
      <c r="CS36">
        <v>3</v>
      </c>
      <c r="CT36">
        <v>3</v>
      </c>
      <c r="CU36">
        <v>4</v>
      </c>
      <c r="CV36">
        <v>3</v>
      </c>
      <c r="CW36">
        <v>3</v>
      </c>
      <c r="CX36" s="13">
        <f t="shared" si="43"/>
        <v>50</v>
      </c>
      <c r="CY36">
        <v>2</v>
      </c>
      <c r="CZ36">
        <v>2</v>
      </c>
      <c r="DA36">
        <v>1</v>
      </c>
      <c r="DB36">
        <v>2</v>
      </c>
      <c r="DC36">
        <v>1</v>
      </c>
      <c r="DD36">
        <v>2</v>
      </c>
      <c r="DE36">
        <v>2</v>
      </c>
      <c r="DF36">
        <v>2</v>
      </c>
      <c r="DG36">
        <v>2</v>
      </c>
      <c r="DH36">
        <v>2</v>
      </c>
      <c r="DI36" s="14">
        <f t="shared" si="44"/>
        <v>18</v>
      </c>
      <c r="DJ36">
        <v>4</v>
      </c>
      <c r="DK36">
        <v>4</v>
      </c>
      <c r="DL36">
        <v>4</v>
      </c>
      <c r="DM36">
        <v>4</v>
      </c>
      <c r="DN36">
        <v>2</v>
      </c>
      <c r="DO36">
        <v>2</v>
      </c>
      <c r="DP36" s="15">
        <f t="shared" si="45"/>
        <v>20</v>
      </c>
      <c r="DQ36" s="15">
        <f t="shared" si="37"/>
        <v>3.3333333333333335</v>
      </c>
      <c r="DR36">
        <v>2</v>
      </c>
      <c r="DS36">
        <v>3</v>
      </c>
      <c r="DT36">
        <v>2</v>
      </c>
      <c r="DU36">
        <v>2</v>
      </c>
      <c r="DV36">
        <v>2</v>
      </c>
      <c r="DW36">
        <v>3</v>
      </c>
      <c r="DX36">
        <v>2</v>
      </c>
      <c r="DY36">
        <v>2</v>
      </c>
      <c r="DZ36">
        <v>2</v>
      </c>
      <c r="EA36">
        <v>2</v>
      </c>
      <c r="EB36" s="16">
        <f t="shared" si="46"/>
        <v>22</v>
      </c>
      <c r="ED36">
        <v>3</v>
      </c>
      <c r="EE36">
        <v>3</v>
      </c>
      <c r="EF36">
        <v>3</v>
      </c>
      <c r="EG36">
        <v>3</v>
      </c>
      <c r="EH36">
        <v>3</v>
      </c>
      <c r="EI36">
        <v>2</v>
      </c>
      <c r="EJ36">
        <v>2</v>
      </c>
      <c r="EK36">
        <v>2</v>
      </c>
      <c r="EL36">
        <v>2</v>
      </c>
      <c r="EM36">
        <v>1</v>
      </c>
      <c r="EN36">
        <v>2</v>
      </c>
      <c r="EO36">
        <v>6</v>
      </c>
      <c r="EP36">
        <v>1</v>
      </c>
      <c r="EQ36">
        <v>3</v>
      </c>
      <c r="ER36" s="1"/>
      <c r="ES36">
        <v>1</v>
      </c>
      <c r="ET36">
        <v>1</v>
      </c>
      <c r="EU36">
        <v>1</v>
      </c>
      <c r="EV36">
        <v>1</v>
      </c>
      <c r="EW36">
        <v>0</v>
      </c>
      <c r="EX36">
        <v>0</v>
      </c>
      <c r="EY36">
        <v>1</v>
      </c>
      <c r="EZ36">
        <v>0</v>
      </c>
      <c r="FA36">
        <v>1</v>
      </c>
      <c r="FB36">
        <v>0</v>
      </c>
      <c r="FC36">
        <v>1</v>
      </c>
      <c r="FD36">
        <v>1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1</v>
      </c>
      <c r="FK36">
        <v>1</v>
      </c>
      <c r="FL36">
        <v>1</v>
      </c>
      <c r="FM36" s="12">
        <f t="shared" si="47"/>
        <v>12</v>
      </c>
      <c r="FN36">
        <v>2</v>
      </c>
      <c r="FO36">
        <v>1</v>
      </c>
      <c r="FP36">
        <v>2</v>
      </c>
      <c r="FQ36">
        <v>1</v>
      </c>
      <c r="FR36">
        <v>1</v>
      </c>
      <c r="FS36">
        <v>1</v>
      </c>
      <c r="FT36">
        <v>1</v>
      </c>
      <c r="FU36">
        <v>2</v>
      </c>
      <c r="FV36">
        <v>1</v>
      </c>
      <c r="FW36">
        <v>2</v>
      </c>
      <c r="FX36">
        <v>1</v>
      </c>
      <c r="FY36">
        <v>1</v>
      </c>
      <c r="FZ36">
        <v>2</v>
      </c>
      <c r="GA36">
        <v>2</v>
      </c>
      <c r="GB36">
        <v>1</v>
      </c>
      <c r="GC36">
        <v>1</v>
      </c>
      <c r="GD36">
        <v>2</v>
      </c>
      <c r="GE36">
        <v>1</v>
      </c>
      <c r="GF36">
        <v>2</v>
      </c>
      <c r="GG36">
        <v>2</v>
      </c>
      <c r="GH36">
        <v>1</v>
      </c>
      <c r="GI36">
        <v>2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2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2</v>
      </c>
      <c r="GW36">
        <v>1</v>
      </c>
      <c r="GX36">
        <v>2</v>
      </c>
      <c r="GY36">
        <v>2</v>
      </c>
      <c r="GZ36">
        <v>1</v>
      </c>
      <c r="HA36">
        <v>1</v>
      </c>
      <c r="HB36" s="5">
        <f t="shared" si="48"/>
        <v>54</v>
      </c>
      <c r="HC36" s="5">
        <f t="shared" si="38"/>
        <v>1.35</v>
      </c>
      <c r="HD36" s="6">
        <v>1</v>
      </c>
      <c r="HE36">
        <v>1</v>
      </c>
      <c r="HF36">
        <v>0</v>
      </c>
      <c r="HG36">
        <v>0</v>
      </c>
      <c r="HH36">
        <v>0</v>
      </c>
      <c r="HI36">
        <v>0</v>
      </c>
      <c r="HJ36" s="7">
        <f t="shared" si="49"/>
        <v>1</v>
      </c>
      <c r="HK36">
        <v>3</v>
      </c>
      <c r="HL36">
        <v>3</v>
      </c>
      <c r="HM36">
        <v>2</v>
      </c>
      <c r="HN36">
        <v>3</v>
      </c>
      <c r="HO36">
        <v>3</v>
      </c>
      <c r="HP36">
        <v>3</v>
      </c>
      <c r="HQ36">
        <v>3</v>
      </c>
      <c r="HR36">
        <v>3</v>
      </c>
      <c r="HS36">
        <v>4</v>
      </c>
      <c r="HT36">
        <v>3</v>
      </c>
      <c r="HU36">
        <v>3</v>
      </c>
      <c r="HV36">
        <v>3</v>
      </c>
      <c r="HW36">
        <v>3</v>
      </c>
      <c r="HX36">
        <v>3</v>
      </c>
      <c r="HY36" s="13">
        <f t="shared" si="52"/>
        <v>42</v>
      </c>
      <c r="HZ36">
        <v>2</v>
      </c>
      <c r="IA36">
        <v>2</v>
      </c>
      <c r="IB36">
        <v>2</v>
      </c>
      <c r="IC36">
        <v>2</v>
      </c>
      <c r="ID36">
        <v>2</v>
      </c>
      <c r="IE36">
        <v>2</v>
      </c>
      <c r="IF36">
        <v>2</v>
      </c>
      <c r="IG36">
        <v>2</v>
      </c>
      <c r="IH36">
        <v>2</v>
      </c>
      <c r="II36">
        <v>2</v>
      </c>
      <c r="IJ36" s="14">
        <f t="shared" si="50"/>
        <v>20</v>
      </c>
      <c r="IK36">
        <v>4</v>
      </c>
      <c r="IL36">
        <v>4</v>
      </c>
      <c r="IM36">
        <v>4</v>
      </c>
      <c r="IN36">
        <v>4</v>
      </c>
      <c r="IO36">
        <v>4</v>
      </c>
      <c r="IP36">
        <v>4</v>
      </c>
      <c r="IQ36" s="15">
        <f t="shared" si="51"/>
        <v>24</v>
      </c>
      <c r="IR36" s="15">
        <f t="shared" si="39"/>
        <v>4</v>
      </c>
      <c r="IS36">
        <v>3</v>
      </c>
      <c r="IT36">
        <v>3</v>
      </c>
      <c r="IU36">
        <v>3</v>
      </c>
      <c r="IV36">
        <v>3</v>
      </c>
      <c r="IW36">
        <v>2</v>
      </c>
      <c r="IX36">
        <v>3</v>
      </c>
      <c r="IY36">
        <v>2</v>
      </c>
      <c r="IZ36">
        <v>3</v>
      </c>
      <c r="JA36">
        <v>2</v>
      </c>
      <c r="JB36">
        <v>2</v>
      </c>
      <c r="JC36" s="16">
        <v>26</v>
      </c>
    </row>
    <row r="37" spans="1:263" x14ac:dyDescent="0.25">
      <c r="A37" t="s">
        <v>80</v>
      </c>
      <c r="B37" s="40"/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2</v>
      </c>
      <c r="J37">
        <v>1</v>
      </c>
      <c r="K37">
        <v>2</v>
      </c>
      <c r="L37">
        <v>1</v>
      </c>
      <c r="M37">
        <v>1</v>
      </c>
      <c r="N37">
        <v>1</v>
      </c>
      <c r="O37">
        <v>1</v>
      </c>
      <c r="P37">
        <v>3</v>
      </c>
      <c r="Q37" s="1"/>
      <c r="R37" s="25">
        <v>2</v>
      </c>
      <c r="S37" s="25">
        <v>2</v>
      </c>
      <c r="T37" s="25">
        <v>1</v>
      </c>
      <c r="U37" s="25">
        <v>2</v>
      </c>
      <c r="V37" s="25">
        <v>2</v>
      </c>
      <c r="W37" s="6">
        <v>2</v>
      </c>
      <c r="X37" s="6">
        <v>1</v>
      </c>
      <c r="Y37" s="38">
        <v>0</v>
      </c>
      <c r="Z37" s="38">
        <v>0</v>
      </c>
      <c r="AA37" s="38">
        <v>1</v>
      </c>
      <c r="AB37" s="38">
        <v>2</v>
      </c>
      <c r="AC37" s="38">
        <v>1</v>
      </c>
      <c r="AD37" s="38">
        <v>1</v>
      </c>
      <c r="AE37" s="38">
        <v>2</v>
      </c>
      <c r="AF37" s="35">
        <v>3</v>
      </c>
      <c r="AG37" s="35">
        <v>0</v>
      </c>
      <c r="AH37" s="35">
        <v>1</v>
      </c>
      <c r="AI37" s="35">
        <v>1</v>
      </c>
      <c r="AJ37" s="35">
        <v>1</v>
      </c>
      <c r="AK37" s="35">
        <v>3</v>
      </c>
      <c r="AL37" s="12">
        <f t="shared" si="40"/>
        <v>28</v>
      </c>
      <c r="AM37">
        <v>2</v>
      </c>
      <c r="AN37">
        <v>1</v>
      </c>
      <c r="AO37">
        <v>2</v>
      </c>
      <c r="AP37">
        <v>1</v>
      </c>
      <c r="AQ37">
        <v>1</v>
      </c>
      <c r="AR37">
        <v>3</v>
      </c>
      <c r="AS37">
        <v>2</v>
      </c>
      <c r="AT37">
        <v>3</v>
      </c>
      <c r="AU37">
        <v>1</v>
      </c>
      <c r="AV37">
        <v>3</v>
      </c>
      <c r="AW37">
        <v>1</v>
      </c>
      <c r="AX37">
        <v>1</v>
      </c>
      <c r="AY37">
        <v>2</v>
      </c>
      <c r="AZ37">
        <v>3</v>
      </c>
      <c r="BA37">
        <v>2</v>
      </c>
      <c r="BB37">
        <v>2</v>
      </c>
      <c r="BC37">
        <v>2</v>
      </c>
      <c r="BD37">
        <v>1</v>
      </c>
      <c r="BE37">
        <v>2</v>
      </c>
      <c r="BF37">
        <v>2</v>
      </c>
      <c r="BG37">
        <v>2</v>
      </c>
      <c r="BH37">
        <v>3</v>
      </c>
      <c r="BI37">
        <v>3</v>
      </c>
      <c r="BJ37">
        <v>2</v>
      </c>
      <c r="BK37">
        <v>1</v>
      </c>
      <c r="BL37">
        <v>2</v>
      </c>
      <c r="BM37">
        <v>2</v>
      </c>
      <c r="BN37">
        <v>2</v>
      </c>
      <c r="BO37">
        <v>3</v>
      </c>
      <c r="BP37">
        <v>2</v>
      </c>
      <c r="BQ37">
        <v>1</v>
      </c>
      <c r="BR37">
        <v>1</v>
      </c>
      <c r="BS37">
        <v>2</v>
      </c>
      <c r="BT37">
        <v>2</v>
      </c>
      <c r="BU37">
        <v>3</v>
      </c>
      <c r="BV37">
        <v>2</v>
      </c>
      <c r="BW37">
        <v>2</v>
      </c>
      <c r="BX37">
        <v>3</v>
      </c>
      <c r="BY37">
        <v>1</v>
      </c>
      <c r="BZ37">
        <v>1</v>
      </c>
      <c r="CA37" s="5">
        <f t="shared" si="41"/>
        <v>77</v>
      </c>
      <c r="CB37" s="5">
        <f t="shared" si="36"/>
        <v>1.925</v>
      </c>
      <c r="CC37" s="6">
        <v>1</v>
      </c>
      <c r="CD37">
        <v>1</v>
      </c>
      <c r="CE37">
        <v>1</v>
      </c>
      <c r="CF37">
        <v>1</v>
      </c>
      <c r="CG37">
        <v>1</v>
      </c>
      <c r="CH37" s="20">
        <v>0</v>
      </c>
      <c r="CI37" s="7">
        <f t="shared" si="42"/>
        <v>4</v>
      </c>
      <c r="CJ37">
        <v>3</v>
      </c>
      <c r="CK37">
        <v>3</v>
      </c>
      <c r="CL37">
        <v>3</v>
      </c>
      <c r="CM37">
        <v>4</v>
      </c>
      <c r="CN37">
        <v>3</v>
      </c>
      <c r="CO37">
        <v>3</v>
      </c>
      <c r="CP37">
        <v>3</v>
      </c>
      <c r="CQ37">
        <v>3</v>
      </c>
      <c r="CR37">
        <v>4</v>
      </c>
      <c r="CS37">
        <v>3</v>
      </c>
      <c r="CT37">
        <v>3</v>
      </c>
      <c r="CU37">
        <v>3</v>
      </c>
      <c r="CV37">
        <v>3</v>
      </c>
      <c r="CW37">
        <v>3</v>
      </c>
      <c r="CX37" s="13">
        <f t="shared" si="43"/>
        <v>53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1</v>
      </c>
      <c r="DE37">
        <v>2</v>
      </c>
      <c r="DF37">
        <v>1</v>
      </c>
      <c r="DG37">
        <v>2</v>
      </c>
      <c r="DH37">
        <v>2</v>
      </c>
      <c r="DI37" s="14">
        <f t="shared" si="44"/>
        <v>18</v>
      </c>
      <c r="DJ37">
        <v>4</v>
      </c>
      <c r="DK37">
        <v>4</v>
      </c>
      <c r="DL37">
        <v>4</v>
      </c>
      <c r="DM37">
        <v>4</v>
      </c>
      <c r="DN37">
        <v>4</v>
      </c>
      <c r="DO37">
        <v>4</v>
      </c>
      <c r="DP37" s="15">
        <f t="shared" si="45"/>
        <v>24</v>
      </c>
      <c r="DQ37" s="15">
        <f t="shared" si="37"/>
        <v>4</v>
      </c>
      <c r="DR37">
        <v>3</v>
      </c>
      <c r="DS37">
        <v>3</v>
      </c>
      <c r="DT37">
        <v>2</v>
      </c>
      <c r="DU37">
        <v>2</v>
      </c>
      <c r="DV37">
        <v>2</v>
      </c>
      <c r="DW37">
        <v>3</v>
      </c>
      <c r="DX37">
        <v>2</v>
      </c>
      <c r="DY37">
        <v>3</v>
      </c>
      <c r="DZ37">
        <v>3</v>
      </c>
      <c r="EA37">
        <v>2</v>
      </c>
      <c r="EB37" s="16">
        <f t="shared" si="46"/>
        <v>25</v>
      </c>
      <c r="ED37">
        <v>3</v>
      </c>
      <c r="EE37">
        <v>1</v>
      </c>
      <c r="EF37">
        <v>1</v>
      </c>
      <c r="EG37">
        <v>1</v>
      </c>
      <c r="EH37">
        <v>3</v>
      </c>
      <c r="EI37">
        <v>3</v>
      </c>
      <c r="EJ37">
        <v>2</v>
      </c>
      <c r="EK37">
        <v>2</v>
      </c>
      <c r="EL37">
        <v>5</v>
      </c>
      <c r="EM37">
        <v>3</v>
      </c>
      <c r="EN37">
        <v>3</v>
      </c>
      <c r="EO37">
        <v>6</v>
      </c>
      <c r="EP37">
        <v>1</v>
      </c>
      <c r="EQ37">
        <v>3</v>
      </c>
      <c r="ER37" s="1"/>
      <c r="ES37">
        <v>1</v>
      </c>
      <c r="ET37">
        <v>1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1</v>
      </c>
      <c r="FD37">
        <v>1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1</v>
      </c>
      <c r="FL37">
        <v>1</v>
      </c>
      <c r="FM37" s="12">
        <f t="shared" si="47"/>
        <v>9</v>
      </c>
      <c r="FN37">
        <v>2</v>
      </c>
      <c r="FO37">
        <v>1</v>
      </c>
      <c r="FP37">
        <v>2</v>
      </c>
      <c r="FQ37">
        <v>1</v>
      </c>
      <c r="FR37">
        <v>1</v>
      </c>
      <c r="FS37">
        <v>2</v>
      </c>
      <c r="FT37">
        <v>1</v>
      </c>
      <c r="FU37">
        <v>2</v>
      </c>
      <c r="FV37">
        <v>1</v>
      </c>
      <c r="FW37">
        <v>2</v>
      </c>
      <c r="FX37">
        <v>1</v>
      </c>
      <c r="FY37">
        <v>1</v>
      </c>
      <c r="FZ37">
        <v>1</v>
      </c>
      <c r="GA37">
        <v>2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 s="5">
        <f t="shared" si="48"/>
        <v>46</v>
      </c>
      <c r="HC37" s="5">
        <f t="shared" si="38"/>
        <v>1.1499999999999999</v>
      </c>
      <c r="HD37" s="6">
        <v>1</v>
      </c>
      <c r="HE37">
        <v>0</v>
      </c>
      <c r="HF37">
        <v>0</v>
      </c>
      <c r="HG37">
        <v>0</v>
      </c>
      <c r="HH37">
        <v>0</v>
      </c>
      <c r="HI37">
        <v>0</v>
      </c>
      <c r="HJ37" s="7">
        <f t="shared" si="49"/>
        <v>0</v>
      </c>
      <c r="HK37">
        <v>3</v>
      </c>
      <c r="HL37">
        <v>4</v>
      </c>
      <c r="HM37">
        <v>3</v>
      </c>
      <c r="HN37">
        <v>4</v>
      </c>
      <c r="HO37">
        <v>3</v>
      </c>
      <c r="HP37">
        <v>4</v>
      </c>
      <c r="HQ37">
        <v>3</v>
      </c>
      <c r="HR37">
        <v>3</v>
      </c>
      <c r="HS37">
        <v>4</v>
      </c>
      <c r="HT37">
        <v>4</v>
      </c>
      <c r="HU37">
        <v>3</v>
      </c>
      <c r="HV37">
        <v>4</v>
      </c>
      <c r="HW37">
        <v>3</v>
      </c>
      <c r="HX37">
        <v>3</v>
      </c>
      <c r="HY37" s="13">
        <f>SUM(HK37:HX37)</f>
        <v>48</v>
      </c>
      <c r="HZ37">
        <v>2</v>
      </c>
      <c r="IA37">
        <v>2</v>
      </c>
      <c r="IB37">
        <v>2</v>
      </c>
      <c r="IC37">
        <v>2</v>
      </c>
      <c r="ID37">
        <v>2</v>
      </c>
      <c r="IE37">
        <v>2</v>
      </c>
      <c r="IF37">
        <v>2</v>
      </c>
      <c r="IG37">
        <v>2</v>
      </c>
      <c r="IH37">
        <v>2</v>
      </c>
      <c r="II37">
        <v>2</v>
      </c>
      <c r="IJ37" s="14">
        <f t="shared" si="50"/>
        <v>20</v>
      </c>
      <c r="IK37">
        <v>4</v>
      </c>
      <c r="IL37">
        <v>4</v>
      </c>
      <c r="IM37">
        <v>4</v>
      </c>
      <c r="IN37">
        <v>4</v>
      </c>
      <c r="IO37">
        <v>4</v>
      </c>
      <c r="IP37">
        <v>4</v>
      </c>
      <c r="IQ37" s="15">
        <f t="shared" si="51"/>
        <v>24</v>
      </c>
      <c r="IR37" s="15">
        <f t="shared" si="39"/>
        <v>4</v>
      </c>
      <c r="IS37">
        <v>3</v>
      </c>
      <c r="IT37">
        <v>3</v>
      </c>
      <c r="IU37">
        <v>3</v>
      </c>
      <c r="IV37">
        <v>3</v>
      </c>
      <c r="IW37">
        <v>3</v>
      </c>
      <c r="IX37">
        <v>3</v>
      </c>
      <c r="IY37">
        <v>3</v>
      </c>
      <c r="IZ37">
        <v>3</v>
      </c>
      <c r="JA37">
        <v>3</v>
      </c>
      <c r="JB37">
        <v>2</v>
      </c>
      <c r="JC37" s="16">
        <v>29</v>
      </c>
    </row>
    <row r="38" spans="1:263" x14ac:dyDescent="0.25">
      <c r="A38" t="s">
        <v>81</v>
      </c>
      <c r="B38" s="40"/>
      <c r="C38">
        <v>6</v>
      </c>
      <c r="D38">
        <v>1</v>
      </c>
      <c r="E38">
        <v>6</v>
      </c>
      <c r="F38">
        <v>6</v>
      </c>
      <c r="G38">
        <v>1</v>
      </c>
      <c r="H38">
        <v>3</v>
      </c>
      <c r="I38">
        <v>3</v>
      </c>
      <c r="J38">
        <v>2</v>
      </c>
      <c r="K38">
        <v>4</v>
      </c>
      <c r="L38">
        <v>6</v>
      </c>
      <c r="M38">
        <v>6</v>
      </c>
      <c r="N38">
        <v>6</v>
      </c>
      <c r="O38">
        <v>1</v>
      </c>
      <c r="P38">
        <v>3</v>
      </c>
      <c r="Q38" s="1"/>
      <c r="R38" s="25">
        <v>3</v>
      </c>
      <c r="S38" s="25">
        <v>3</v>
      </c>
      <c r="T38" s="25">
        <v>2</v>
      </c>
      <c r="U38" s="25">
        <v>3</v>
      </c>
      <c r="V38" s="25">
        <v>2</v>
      </c>
      <c r="W38" s="6">
        <v>2</v>
      </c>
      <c r="X38" s="6">
        <v>2</v>
      </c>
      <c r="Y38" s="38">
        <v>2</v>
      </c>
      <c r="Z38" s="38">
        <v>2</v>
      </c>
      <c r="AA38" s="38">
        <v>2</v>
      </c>
      <c r="AB38" s="38">
        <v>4</v>
      </c>
      <c r="AC38" s="38">
        <v>3</v>
      </c>
      <c r="AD38" s="38">
        <v>2</v>
      </c>
      <c r="AE38" s="38">
        <v>2</v>
      </c>
      <c r="AF38" s="35">
        <v>2</v>
      </c>
      <c r="AG38" s="35">
        <v>1</v>
      </c>
      <c r="AH38" s="35">
        <v>2</v>
      </c>
      <c r="AI38" s="35">
        <v>3</v>
      </c>
      <c r="AJ38" s="35">
        <v>2</v>
      </c>
      <c r="AK38" s="35">
        <v>2</v>
      </c>
      <c r="AL38" s="12">
        <f t="shared" si="40"/>
        <v>46</v>
      </c>
      <c r="AM38">
        <v>3</v>
      </c>
      <c r="AN38">
        <v>1</v>
      </c>
      <c r="AO38">
        <v>2</v>
      </c>
      <c r="AP38">
        <v>2</v>
      </c>
      <c r="AQ38">
        <v>1</v>
      </c>
      <c r="AR38">
        <v>3</v>
      </c>
      <c r="AS38">
        <v>2</v>
      </c>
      <c r="AT38">
        <v>2</v>
      </c>
      <c r="AU38">
        <v>2</v>
      </c>
      <c r="AV38">
        <v>3</v>
      </c>
      <c r="AW38">
        <v>1</v>
      </c>
      <c r="AX38">
        <v>2</v>
      </c>
      <c r="AY38">
        <v>2</v>
      </c>
      <c r="AZ38">
        <v>4</v>
      </c>
      <c r="BA38">
        <v>2</v>
      </c>
      <c r="BB38">
        <v>3</v>
      </c>
      <c r="BC38">
        <v>3</v>
      </c>
      <c r="BD38">
        <v>2</v>
      </c>
      <c r="BE38">
        <v>3</v>
      </c>
      <c r="BF38">
        <v>3</v>
      </c>
      <c r="BG38">
        <v>2</v>
      </c>
      <c r="BH38">
        <v>2</v>
      </c>
      <c r="BI38">
        <v>2</v>
      </c>
      <c r="BJ38">
        <v>2</v>
      </c>
      <c r="BK38">
        <v>1</v>
      </c>
      <c r="BL38">
        <v>3</v>
      </c>
      <c r="BM38">
        <v>2</v>
      </c>
      <c r="BN38">
        <v>3</v>
      </c>
      <c r="BO38">
        <v>3</v>
      </c>
      <c r="BP38">
        <v>2</v>
      </c>
      <c r="BQ38">
        <v>1</v>
      </c>
      <c r="BR38">
        <v>1</v>
      </c>
      <c r="BS38">
        <v>2</v>
      </c>
      <c r="BT38">
        <v>3</v>
      </c>
      <c r="BU38">
        <v>3</v>
      </c>
      <c r="BV38">
        <v>2</v>
      </c>
      <c r="BW38">
        <v>2</v>
      </c>
      <c r="BX38">
        <v>3</v>
      </c>
      <c r="BY38">
        <v>1</v>
      </c>
      <c r="BZ38">
        <v>1</v>
      </c>
      <c r="CA38" s="5">
        <f t="shared" si="41"/>
        <v>87</v>
      </c>
      <c r="CB38" s="5">
        <f t="shared" si="36"/>
        <v>2.1749999999999998</v>
      </c>
      <c r="CC38" s="6">
        <v>1</v>
      </c>
      <c r="CD38">
        <v>1</v>
      </c>
      <c r="CE38">
        <v>0</v>
      </c>
      <c r="CF38">
        <v>1</v>
      </c>
      <c r="CG38">
        <v>0</v>
      </c>
      <c r="CH38" s="20">
        <v>0</v>
      </c>
      <c r="CI38" s="7">
        <f t="shared" si="42"/>
        <v>2</v>
      </c>
      <c r="CJ38">
        <v>2</v>
      </c>
      <c r="CK38">
        <v>3</v>
      </c>
      <c r="CL38">
        <v>2</v>
      </c>
      <c r="CM38">
        <v>2</v>
      </c>
      <c r="CN38">
        <v>2</v>
      </c>
      <c r="CO38">
        <v>3</v>
      </c>
      <c r="CP38">
        <v>3</v>
      </c>
      <c r="CQ38">
        <v>2</v>
      </c>
      <c r="CR38">
        <v>3</v>
      </c>
      <c r="CS38">
        <v>3</v>
      </c>
      <c r="CT38">
        <v>3</v>
      </c>
      <c r="CU38">
        <v>3</v>
      </c>
      <c r="CV38">
        <v>2</v>
      </c>
      <c r="CW38">
        <v>2</v>
      </c>
      <c r="CX38" s="13">
        <f t="shared" si="43"/>
        <v>40</v>
      </c>
      <c r="CY38">
        <v>2</v>
      </c>
      <c r="CZ38">
        <v>3</v>
      </c>
      <c r="DA38">
        <v>2</v>
      </c>
      <c r="DB38">
        <v>2</v>
      </c>
      <c r="DC38">
        <v>1</v>
      </c>
      <c r="DD38">
        <v>1</v>
      </c>
      <c r="DE38">
        <v>2</v>
      </c>
      <c r="DF38">
        <v>2</v>
      </c>
      <c r="DG38">
        <v>2</v>
      </c>
      <c r="DH38">
        <v>2</v>
      </c>
      <c r="DI38" s="14">
        <f t="shared" si="44"/>
        <v>19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 s="15">
        <f t="shared" si="45"/>
        <v>12</v>
      </c>
      <c r="DQ38" s="15">
        <f t="shared" si="37"/>
        <v>2</v>
      </c>
      <c r="DR38">
        <v>2</v>
      </c>
      <c r="DS38">
        <v>3</v>
      </c>
      <c r="DT38">
        <v>3</v>
      </c>
      <c r="DU38">
        <v>2</v>
      </c>
      <c r="DV38">
        <v>2</v>
      </c>
      <c r="DW38">
        <v>3</v>
      </c>
      <c r="DX38">
        <v>2</v>
      </c>
      <c r="DY38">
        <v>2</v>
      </c>
      <c r="DZ38">
        <v>2</v>
      </c>
      <c r="EA38">
        <v>2</v>
      </c>
      <c r="EB38" s="16">
        <f t="shared" si="46"/>
        <v>23</v>
      </c>
      <c r="ED38">
        <v>3</v>
      </c>
      <c r="EE38">
        <v>3</v>
      </c>
      <c r="EF38">
        <v>3</v>
      </c>
      <c r="EG38">
        <v>3</v>
      </c>
      <c r="EH38">
        <v>3</v>
      </c>
      <c r="EI38">
        <v>3</v>
      </c>
      <c r="EJ38">
        <v>2</v>
      </c>
      <c r="EK38">
        <v>2</v>
      </c>
      <c r="EL38">
        <v>5</v>
      </c>
      <c r="EM38">
        <v>1</v>
      </c>
      <c r="EN38">
        <v>3</v>
      </c>
      <c r="EO38">
        <v>6</v>
      </c>
      <c r="EP38">
        <v>1</v>
      </c>
      <c r="EQ38">
        <v>3</v>
      </c>
      <c r="ER38" s="1"/>
      <c r="ES38">
        <v>2</v>
      </c>
      <c r="ET38">
        <v>2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0</v>
      </c>
      <c r="FB38">
        <v>0</v>
      </c>
      <c r="FC38">
        <v>1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 s="12">
        <f t="shared" si="47"/>
        <v>15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2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2</v>
      </c>
      <c r="GA38">
        <v>2</v>
      </c>
      <c r="GB38">
        <v>1</v>
      </c>
      <c r="GC38">
        <v>1</v>
      </c>
      <c r="GD38">
        <v>2</v>
      </c>
      <c r="GE38">
        <v>1</v>
      </c>
      <c r="GF38">
        <v>1</v>
      </c>
      <c r="GG38">
        <v>2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2</v>
      </c>
      <c r="GT38">
        <v>1</v>
      </c>
      <c r="GU38">
        <v>1</v>
      </c>
      <c r="GV38">
        <v>2</v>
      </c>
      <c r="GW38">
        <v>1</v>
      </c>
      <c r="GX38">
        <v>1</v>
      </c>
      <c r="GY38">
        <v>1</v>
      </c>
      <c r="GZ38">
        <v>1</v>
      </c>
      <c r="HA38">
        <v>1</v>
      </c>
      <c r="HB38" s="5">
        <f t="shared" si="48"/>
        <v>47</v>
      </c>
      <c r="HC38" s="5">
        <f t="shared" si="38"/>
        <v>1.175</v>
      </c>
      <c r="HD38" s="6">
        <v>1</v>
      </c>
      <c r="HE38">
        <v>0</v>
      </c>
      <c r="HF38">
        <v>0</v>
      </c>
      <c r="HG38">
        <v>0</v>
      </c>
      <c r="HH38">
        <v>0</v>
      </c>
      <c r="HI38">
        <v>0</v>
      </c>
      <c r="HJ38" s="7">
        <f t="shared" si="49"/>
        <v>0</v>
      </c>
      <c r="HK38">
        <v>3</v>
      </c>
      <c r="HL38">
        <v>3</v>
      </c>
      <c r="HM38">
        <v>3</v>
      </c>
      <c r="HN38">
        <v>4</v>
      </c>
      <c r="HO38">
        <v>3</v>
      </c>
      <c r="HP38">
        <v>3</v>
      </c>
      <c r="HQ38">
        <v>3</v>
      </c>
      <c r="HR38">
        <v>3</v>
      </c>
      <c r="HS38">
        <v>4</v>
      </c>
      <c r="HT38">
        <v>3</v>
      </c>
      <c r="HU38">
        <v>3</v>
      </c>
      <c r="HV38">
        <v>4</v>
      </c>
      <c r="HW38">
        <v>3</v>
      </c>
      <c r="HX38">
        <v>4</v>
      </c>
      <c r="HY38" s="13">
        <f t="shared" si="52"/>
        <v>46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2</v>
      </c>
      <c r="IF38">
        <v>2</v>
      </c>
      <c r="IG38">
        <v>2</v>
      </c>
      <c r="IH38">
        <v>2</v>
      </c>
      <c r="II38">
        <v>2</v>
      </c>
      <c r="IJ38" s="14">
        <f t="shared" si="50"/>
        <v>20</v>
      </c>
      <c r="IK38">
        <v>4</v>
      </c>
      <c r="IL38">
        <v>4</v>
      </c>
      <c r="IM38">
        <v>4</v>
      </c>
      <c r="IN38">
        <v>4</v>
      </c>
      <c r="IO38">
        <v>4</v>
      </c>
      <c r="IP38">
        <v>4</v>
      </c>
      <c r="IQ38" s="15">
        <f t="shared" si="51"/>
        <v>24</v>
      </c>
      <c r="IR38" s="15">
        <f t="shared" si="39"/>
        <v>4</v>
      </c>
      <c r="IS38">
        <v>3</v>
      </c>
      <c r="IT38">
        <v>3</v>
      </c>
      <c r="IU38">
        <v>2</v>
      </c>
      <c r="IV38">
        <v>3</v>
      </c>
      <c r="IW38">
        <v>2</v>
      </c>
      <c r="IX38">
        <v>3</v>
      </c>
      <c r="IY38">
        <v>2</v>
      </c>
      <c r="IZ38">
        <v>3</v>
      </c>
      <c r="JA38">
        <v>2</v>
      </c>
      <c r="JB38">
        <v>3</v>
      </c>
      <c r="JC38" s="16">
        <v>26</v>
      </c>
    </row>
    <row r="39" spans="1:263" x14ac:dyDescent="0.25">
      <c r="A39" t="s">
        <v>82</v>
      </c>
      <c r="B39" s="40"/>
      <c r="C39">
        <v>3</v>
      </c>
      <c r="D39">
        <v>3</v>
      </c>
      <c r="E39">
        <v>2</v>
      </c>
      <c r="F39">
        <v>2</v>
      </c>
      <c r="G39">
        <v>1</v>
      </c>
      <c r="H39">
        <v>3</v>
      </c>
      <c r="I39">
        <v>3</v>
      </c>
      <c r="J39">
        <v>2</v>
      </c>
      <c r="K39">
        <v>5</v>
      </c>
      <c r="L39">
        <v>5</v>
      </c>
      <c r="M39">
        <v>3</v>
      </c>
      <c r="N39">
        <v>6</v>
      </c>
      <c r="O39" t="s">
        <v>83</v>
      </c>
      <c r="P39">
        <v>3</v>
      </c>
      <c r="Q39" s="1"/>
      <c r="R39" s="25">
        <v>3</v>
      </c>
      <c r="S39" s="25">
        <v>2</v>
      </c>
      <c r="T39" s="25">
        <v>1</v>
      </c>
      <c r="U39" s="25">
        <v>1</v>
      </c>
      <c r="V39" s="25">
        <v>2</v>
      </c>
      <c r="W39" s="6">
        <v>2</v>
      </c>
      <c r="X39" s="6">
        <v>2</v>
      </c>
      <c r="Y39" s="38">
        <v>1</v>
      </c>
      <c r="Z39" s="38">
        <v>2</v>
      </c>
      <c r="AA39" s="38">
        <v>3</v>
      </c>
      <c r="AB39" s="38">
        <v>3</v>
      </c>
      <c r="AC39" s="38">
        <v>2</v>
      </c>
      <c r="AD39" s="38">
        <v>2</v>
      </c>
      <c r="AE39" s="38">
        <v>2</v>
      </c>
      <c r="AF39" s="35">
        <v>2</v>
      </c>
      <c r="AG39" s="35">
        <v>0</v>
      </c>
      <c r="AH39" s="35">
        <v>1</v>
      </c>
      <c r="AI39" s="35">
        <v>3</v>
      </c>
      <c r="AJ39" s="35">
        <v>2</v>
      </c>
      <c r="AK39" s="35">
        <v>3</v>
      </c>
      <c r="AL39" s="12">
        <f t="shared" si="40"/>
        <v>39</v>
      </c>
      <c r="AM39">
        <v>2</v>
      </c>
      <c r="AN39">
        <v>1</v>
      </c>
      <c r="AO39">
        <v>2</v>
      </c>
      <c r="AP39">
        <v>2</v>
      </c>
      <c r="AQ39">
        <v>1</v>
      </c>
      <c r="AR39">
        <v>3</v>
      </c>
      <c r="AS39">
        <v>2</v>
      </c>
      <c r="AT39">
        <v>4</v>
      </c>
      <c r="AU39">
        <v>1</v>
      </c>
      <c r="AV39">
        <v>2</v>
      </c>
      <c r="AW39">
        <v>1</v>
      </c>
      <c r="AX39">
        <v>2</v>
      </c>
      <c r="AY39">
        <v>2</v>
      </c>
      <c r="AZ39">
        <v>3</v>
      </c>
      <c r="BA39">
        <v>2</v>
      </c>
      <c r="BB39">
        <v>2</v>
      </c>
      <c r="BC39">
        <v>2</v>
      </c>
      <c r="BD39">
        <v>2</v>
      </c>
      <c r="BE39">
        <v>2</v>
      </c>
      <c r="BF39">
        <v>3</v>
      </c>
      <c r="BG39">
        <v>2</v>
      </c>
      <c r="BH39">
        <v>3</v>
      </c>
      <c r="BI39">
        <v>3</v>
      </c>
      <c r="BJ39">
        <v>2</v>
      </c>
      <c r="BK39">
        <v>1</v>
      </c>
      <c r="BL39">
        <v>2</v>
      </c>
      <c r="BM39">
        <v>1</v>
      </c>
      <c r="BN39">
        <v>2</v>
      </c>
      <c r="BO39">
        <v>2</v>
      </c>
      <c r="BP39">
        <v>2</v>
      </c>
      <c r="BQ39">
        <v>1</v>
      </c>
      <c r="BR39">
        <v>2</v>
      </c>
      <c r="BS39">
        <v>2</v>
      </c>
      <c r="BT39">
        <v>2</v>
      </c>
      <c r="BU39">
        <v>3</v>
      </c>
      <c r="BV39">
        <v>2</v>
      </c>
      <c r="BW39">
        <v>2</v>
      </c>
      <c r="BX39">
        <v>2</v>
      </c>
      <c r="BY39">
        <v>1</v>
      </c>
      <c r="BZ39">
        <v>1</v>
      </c>
      <c r="CA39" s="5">
        <f t="shared" si="41"/>
        <v>79</v>
      </c>
      <c r="CB39" s="5">
        <f t="shared" si="36"/>
        <v>1.9750000000000001</v>
      </c>
      <c r="CC39" s="6">
        <v>1</v>
      </c>
      <c r="CD39">
        <v>1</v>
      </c>
      <c r="CE39">
        <v>0</v>
      </c>
      <c r="CF39">
        <v>1</v>
      </c>
      <c r="CG39">
        <v>0</v>
      </c>
      <c r="CH39" s="20">
        <v>0</v>
      </c>
      <c r="CI39" s="7">
        <f t="shared" si="42"/>
        <v>2</v>
      </c>
      <c r="CJ39">
        <v>3</v>
      </c>
      <c r="CK39">
        <v>3</v>
      </c>
      <c r="CL39">
        <v>2</v>
      </c>
      <c r="CM39">
        <v>3</v>
      </c>
      <c r="CN39">
        <v>2</v>
      </c>
      <c r="CO39">
        <v>3</v>
      </c>
      <c r="CP39">
        <v>3</v>
      </c>
      <c r="CQ39">
        <v>3</v>
      </c>
      <c r="CR39">
        <v>4</v>
      </c>
      <c r="CS39">
        <v>3</v>
      </c>
      <c r="CT39">
        <v>3</v>
      </c>
      <c r="CU39">
        <v>4</v>
      </c>
      <c r="CV39">
        <v>2</v>
      </c>
      <c r="CW39">
        <v>3</v>
      </c>
      <c r="CX39" s="13">
        <f t="shared" si="43"/>
        <v>46</v>
      </c>
      <c r="CY39">
        <v>2</v>
      </c>
      <c r="CZ39">
        <v>2</v>
      </c>
      <c r="DA39">
        <v>2</v>
      </c>
      <c r="DB39">
        <v>1</v>
      </c>
      <c r="DC39">
        <v>2</v>
      </c>
      <c r="DD39">
        <v>1</v>
      </c>
      <c r="DE39">
        <v>2</v>
      </c>
      <c r="DF39">
        <v>2</v>
      </c>
      <c r="DG39">
        <v>1</v>
      </c>
      <c r="DH39">
        <v>2</v>
      </c>
      <c r="DI39" s="14">
        <f t="shared" si="44"/>
        <v>17</v>
      </c>
      <c r="DJ39">
        <v>2</v>
      </c>
      <c r="DK39">
        <v>2</v>
      </c>
      <c r="DL39">
        <v>2</v>
      </c>
      <c r="DM39">
        <v>2</v>
      </c>
      <c r="DN39">
        <v>2</v>
      </c>
      <c r="DO39">
        <v>2</v>
      </c>
      <c r="DP39" s="15">
        <f t="shared" si="45"/>
        <v>12</v>
      </c>
      <c r="DQ39" s="15">
        <f t="shared" si="37"/>
        <v>2</v>
      </c>
      <c r="DR39">
        <v>2</v>
      </c>
      <c r="DS39">
        <v>3</v>
      </c>
      <c r="DT39">
        <v>3</v>
      </c>
      <c r="DU39">
        <v>2</v>
      </c>
      <c r="DV39">
        <v>2</v>
      </c>
      <c r="DW39">
        <v>2</v>
      </c>
      <c r="DX39">
        <v>2</v>
      </c>
      <c r="DY39">
        <v>2</v>
      </c>
      <c r="DZ39">
        <v>2</v>
      </c>
      <c r="EA39">
        <v>2</v>
      </c>
      <c r="EB39" s="16">
        <f t="shared" si="46"/>
        <v>22</v>
      </c>
      <c r="ED39">
        <v>3</v>
      </c>
      <c r="EE39">
        <v>1</v>
      </c>
      <c r="EF39">
        <v>3</v>
      </c>
      <c r="EG39">
        <v>3</v>
      </c>
      <c r="EH39">
        <v>3</v>
      </c>
      <c r="EI39">
        <v>5</v>
      </c>
      <c r="EJ39">
        <v>5</v>
      </c>
      <c r="EK39">
        <v>1</v>
      </c>
      <c r="EL39">
        <v>5</v>
      </c>
      <c r="EM39">
        <v>1</v>
      </c>
      <c r="EN39">
        <v>3</v>
      </c>
      <c r="EO39">
        <v>6</v>
      </c>
      <c r="EP39">
        <v>1</v>
      </c>
      <c r="EQ39">
        <v>3</v>
      </c>
      <c r="ER39" s="1"/>
      <c r="ES39">
        <v>1</v>
      </c>
      <c r="ET39">
        <v>0</v>
      </c>
      <c r="EU39">
        <v>1</v>
      </c>
      <c r="EV39">
        <v>1</v>
      </c>
      <c r="EW39">
        <v>1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1</v>
      </c>
      <c r="FL39">
        <v>0</v>
      </c>
      <c r="FM39" s="12">
        <f t="shared" si="47"/>
        <v>8</v>
      </c>
      <c r="FN39">
        <v>2</v>
      </c>
      <c r="FO39">
        <v>1</v>
      </c>
      <c r="FP39">
        <v>2</v>
      </c>
      <c r="FQ39">
        <v>1</v>
      </c>
      <c r="FR39">
        <v>1</v>
      </c>
      <c r="FS39">
        <v>2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2</v>
      </c>
      <c r="GA39">
        <v>2</v>
      </c>
      <c r="GB39">
        <v>1</v>
      </c>
      <c r="GC39">
        <v>1</v>
      </c>
      <c r="GD39">
        <v>2</v>
      </c>
      <c r="GE39">
        <v>1</v>
      </c>
      <c r="GF39">
        <v>2</v>
      </c>
      <c r="GG39">
        <v>2</v>
      </c>
      <c r="GH39">
        <v>1</v>
      </c>
      <c r="GI39">
        <v>2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2</v>
      </c>
      <c r="GW39">
        <v>1</v>
      </c>
      <c r="GX39">
        <v>1</v>
      </c>
      <c r="GY39">
        <v>1</v>
      </c>
      <c r="GZ39">
        <v>1</v>
      </c>
      <c r="HA39">
        <v>1</v>
      </c>
      <c r="HB39" s="5">
        <f t="shared" si="48"/>
        <v>50</v>
      </c>
      <c r="HC39" s="5">
        <f t="shared" si="38"/>
        <v>1.25</v>
      </c>
      <c r="HD39" s="6">
        <v>1</v>
      </c>
      <c r="HE39">
        <v>0</v>
      </c>
      <c r="HF39">
        <v>0</v>
      </c>
      <c r="HG39">
        <v>0</v>
      </c>
      <c r="HH39">
        <v>0</v>
      </c>
      <c r="HI39">
        <v>0</v>
      </c>
      <c r="HJ39" s="7">
        <f t="shared" si="49"/>
        <v>0</v>
      </c>
      <c r="HK39">
        <v>3</v>
      </c>
      <c r="HL39">
        <v>4</v>
      </c>
      <c r="HM39">
        <v>3</v>
      </c>
      <c r="HN39">
        <v>4</v>
      </c>
      <c r="HO39">
        <v>3</v>
      </c>
      <c r="HP39">
        <v>4</v>
      </c>
      <c r="HQ39">
        <v>4</v>
      </c>
      <c r="HR39">
        <v>4</v>
      </c>
      <c r="HS39">
        <v>4</v>
      </c>
      <c r="HT39">
        <v>4</v>
      </c>
      <c r="HU39">
        <v>3</v>
      </c>
      <c r="HV39">
        <v>3</v>
      </c>
      <c r="HW39">
        <v>3</v>
      </c>
      <c r="HX39">
        <v>4</v>
      </c>
      <c r="HY39" s="13">
        <f t="shared" si="52"/>
        <v>50</v>
      </c>
      <c r="HZ39">
        <v>2</v>
      </c>
      <c r="IA39">
        <v>2</v>
      </c>
      <c r="IB39">
        <v>2</v>
      </c>
      <c r="IC39">
        <v>2</v>
      </c>
      <c r="ID39">
        <v>2</v>
      </c>
      <c r="IE39">
        <v>2</v>
      </c>
      <c r="IF39">
        <v>2</v>
      </c>
      <c r="IG39">
        <v>2</v>
      </c>
      <c r="IH39">
        <v>2</v>
      </c>
      <c r="II39">
        <v>2</v>
      </c>
      <c r="IJ39" s="14">
        <f t="shared" si="50"/>
        <v>20</v>
      </c>
      <c r="IK39">
        <v>4</v>
      </c>
      <c r="IL39">
        <v>4</v>
      </c>
      <c r="IM39">
        <v>4</v>
      </c>
      <c r="IN39">
        <v>4</v>
      </c>
      <c r="IO39">
        <v>4</v>
      </c>
      <c r="IP39">
        <v>4</v>
      </c>
      <c r="IQ39" s="15">
        <f t="shared" si="51"/>
        <v>24</v>
      </c>
      <c r="IR39" s="15">
        <f t="shared" si="39"/>
        <v>4</v>
      </c>
      <c r="IS39">
        <v>2</v>
      </c>
      <c r="IT39">
        <v>2</v>
      </c>
      <c r="IU39">
        <v>2</v>
      </c>
      <c r="IV39">
        <v>3</v>
      </c>
      <c r="IW39">
        <v>3</v>
      </c>
      <c r="IX39">
        <v>3</v>
      </c>
      <c r="IY39">
        <v>2</v>
      </c>
      <c r="IZ39">
        <v>3</v>
      </c>
      <c r="JA39">
        <v>3</v>
      </c>
      <c r="JB39">
        <v>2</v>
      </c>
      <c r="JC39" s="16">
        <v>25</v>
      </c>
    </row>
    <row r="40" spans="1:263" x14ac:dyDescent="0.25">
      <c r="A40" t="s">
        <v>84</v>
      </c>
      <c r="B40" s="40"/>
      <c r="C40">
        <v>6</v>
      </c>
      <c r="D40">
        <v>1</v>
      </c>
      <c r="E40">
        <v>1</v>
      </c>
      <c r="F40">
        <v>1</v>
      </c>
      <c r="G40">
        <v>2</v>
      </c>
      <c r="H40">
        <v>2</v>
      </c>
      <c r="I40">
        <v>4</v>
      </c>
      <c r="J40">
        <v>3</v>
      </c>
      <c r="K40">
        <v>5</v>
      </c>
      <c r="L40">
        <v>6</v>
      </c>
      <c r="M40">
        <v>5</v>
      </c>
      <c r="N40">
        <v>6</v>
      </c>
      <c r="O40">
        <v>1</v>
      </c>
      <c r="P40">
        <v>3</v>
      </c>
      <c r="Q40" s="1"/>
      <c r="R40" s="25">
        <v>3</v>
      </c>
      <c r="S40" s="25">
        <v>2</v>
      </c>
      <c r="T40" s="25">
        <v>1</v>
      </c>
      <c r="U40" s="25">
        <v>2</v>
      </c>
      <c r="V40" s="25">
        <v>1</v>
      </c>
      <c r="W40" s="6">
        <v>1</v>
      </c>
      <c r="X40" s="6">
        <v>1</v>
      </c>
      <c r="Y40" s="38">
        <v>0</v>
      </c>
      <c r="Z40" s="38">
        <v>0</v>
      </c>
      <c r="AA40" s="38">
        <v>1</v>
      </c>
      <c r="AB40" s="38">
        <v>2</v>
      </c>
      <c r="AC40" s="38">
        <v>1</v>
      </c>
      <c r="AD40" s="38">
        <v>1</v>
      </c>
      <c r="AE40" s="38">
        <v>0</v>
      </c>
      <c r="AF40" s="35">
        <v>2</v>
      </c>
      <c r="AG40" s="35">
        <v>0</v>
      </c>
      <c r="AH40" s="35">
        <v>0</v>
      </c>
      <c r="AI40" s="35">
        <v>1</v>
      </c>
      <c r="AJ40" s="35">
        <v>2</v>
      </c>
      <c r="AK40" s="35">
        <v>3</v>
      </c>
      <c r="AL40" s="12">
        <f t="shared" si="40"/>
        <v>24</v>
      </c>
      <c r="AM40">
        <v>2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2</v>
      </c>
      <c r="AT40">
        <v>2</v>
      </c>
      <c r="AU40">
        <v>1</v>
      </c>
      <c r="AV40">
        <v>2</v>
      </c>
      <c r="AW40">
        <v>2</v>
      </c>
      <c r="AX40">
        <v>1</v>
      </c>
      <c r="AY40">
        <v>2</v>
      </c>
      <c r="AZ40">
        <v>2</v>
      </c>
      <c r="BA40">
        <v>4</v>
      </c>
      <c r="BB40">
        <v>2</v>
      </c>
      <c r="BC40">
        <v>2</v>
      </c>
      <c r="BD40">
        <v>2</v>
      </c>
      <c r="BE40">
        <v>3</v>
      </c>
      <c r="BF40">
        <v>3</v>
      </c>
      <c r="BG40">
        <v>3</v>
      </c>
      <c r="BH40">
        <v>2</v>
      </c>
      <c r="BI40">
        <v>3</v>
      </c>
      <c r="BJ40">
        <v>3</v>
      </c>
      <c r="BK40">
        <v>1</v>
      </c>
      <c r="BL40">
        <v>2</v>
      </c>
      <c r="BM40">
        <v>1</v>
      </c>
      <c r="BN40">
        <v>1</v>
      </c>
      <c r="BO40">
        <v>2</v>
      </c>
      <c r="BP40">
        <v>3</v>
      </c>
      <c r="BQ40">
        <v>1</v>
      </c>
      <c r="BR40">
        <v>1</v>
      </c>
      <c r="BS40">
        <v>1</v>
      </c>
      <c r="BT40">
        <v>2</v>
      </c>
      <c r="BU40">
        <v>2</v>
      </c>
      <c r="BV40">
        <v>1</v>
      </c>
      <c r="BW40">
        <v>2</v>
      </c>
      <c r="BX40">
        <v>3</v>
      </c>
      <c r="BY40">
        <v>1</v>
      </c>
      <c r="BZ40">
        <v>1</v>
      </c>
      <c r="CA40" s="5">
        <f t="shared" si="41"/>
        <v>74</v>
      </c>
      <c r="CB40" s="5">
        <f t="shared" si="36"/>
        <v>1.85</v>
      </c>
      <c r="CC40" s="6">
        <v>1</v>
      </c>
      <c r="CD40">
        <v>1</v>
      </c>
      <c r="CE40">
        <v>0</v>
      </c>
      <c r="CF40">
        <v>0</v>
      </c>
      <c r="CG40">
        <v>0</v>
      </c>
      <c r="CH40" s="20">
        <v>0</v>
      </c>
      <c r="CI40" s="7">
        <f t="shared" si="42"/>
        <v>1</v>
      </c>
      <c r="CJ40">
        <v>3</v>
      </c>
      <c r="CK40">
        <v>4</v>
      </c>
      <c r="CL40">
        <v>2</v>
      </c>
      <c r="CM40">
        <v>4</v>
      </c>
      <c r="CN40">
        <v>2</v>
      </c>
      <c r="CO40">
        <v>3</v>
      </c>
      <c r="CP40">
        <v>3</v>
      </c>
      <c r="CQ40">
        <v>2</v>
      </c>
      <c r="CR40">
        <v>5</v>
      </c>
      <c r="CS40">
        <v>4</v>
      </c>
      <c r="CT40">
        <v>3</v>
      </c>
      <c r="CU40">
        <v>4</v>
      </c>
      <c r="CV40">
        <v>3</v>
      </c>
      <c r="CW40">
        <v>3</v>
      </c>
      <c r="CX40" s="13">
        <f t="shared" si="43"/>
        <v>48</v>
      </c>
      <c r="CY40">
        <v>2</v>
      </c>
      <c r="CZ40">
        <v>2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  <c r="DI40" s="14">
        <f t="shared" si="44"/>
        <v>20</v>
      </c>
      <c r="DJ40">
        <v>4</v>
      </c>
      <c r="DK40">
        <v>4</v>
      </c>
      <c r="DL40">
        <v>4</v>
      </c>
      <c r="DM40">
        <v>4</v>
      </c>
      <c r="DN40">
        <v>4</v>
      </c>
      <c r="DO40">
        <v>4</v>
      </c>
      <c r="DP40" s="15">
        <f t="shared" si="45"/>
        <v>24</v>
      </c>
      <c r="DQ40" s="15">
        <f t="shared" si="37"/>
        <v>4</v>
      </c>
      <c r="DR40">
        <v>2</v>
      </c>
      <c r="DS40">
        <v>3</v>
      </c>
      <c r="DT40">
        <v>3</v>
      </c>
      <c r="DU40">
        <v>2</v>
      </c>
      <c r="DV40">
        <v>2</v>
      </c>
      <c r="DW40">
        <v>3</v>
      </c>
      <c r="DX40">
        <v>2</v>
      </c>
      <c r="DY40">
        <v>2</v>
      </c>
      <c r="DZ40">
        <v>3</v>
      </c>
      <c r="EA40">
        <v>2</v>
      </c>
      <c r="EB40" s="16">
        <f t="shared" si="46"/>
        <v>24</v>
      </c>
      <c r="ED40">
        <v>3</v>
      </c>
      <c r="EE40">
        <v>3</v>
      </c>
      <c r="EF40">
        <v>3</v>
      </c>
      <c r="EG40">
        <v>3</v>
      </c>
      <c r="EH40">
        <v>1</v>
      </c>
      <c r="EI40">
        <v>1</v>
      </c>
      <c r="EJ40">
        <v>2</v>
      </c>
      <c r="EK40">
        <v>2</v>
      </c>
      <c r="EL40">
        <v>3</v>
      </c>
      <c r="EM40">
        <v>1</v>
      </c>
      <c r="EN40">
        <v>3</v>
      </c>
      <c r="EO40">
        <v>6</v>
      </c>
      <c r="EP40">
        <v>1</v>
      </c>
      <c r="EQ40">
        <v>3</v>
      </c>
      <c r="ER40" s="1"/>
      <c r="ES40">
        <v>1</v>
      </c>
      <c r="ET40">
        <v>0</v>
      </c>
      <c r="EU40">
        <v>0</v>
      </c>
      <c r="EV40">
        <v>1</v>
      </c>
      <c r="EW40">
        <v>1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2</v>
      </c>
      <c r="FD40">
        <v>1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 s="12">
        <f t="shared" si="47"/>
        <v>8</v>
      </c>
      <c r="FN40">
        <v>2</v>
      </c>
      <c r="FO40">
        <v>1</v>
      </c>
      <c r="FP40">
        <v>1</v>
      </c>
      <c r="FQ40">
        <v>1</v>
      </c>
      <c r="FR40">
        <v>1</v>
      </c>
      <c r="FS40">
        <v>2</v>
      </c>
      <c r="FT40">
        <v>1</v>
      </c>
      <c r="FU40">
        <v>2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2</v>
      </c>
      <c r="GB40">
        <v>2</v>
      </c>
      <c r="GC40">
        <v>2</v>
      </c>
      <c r="GD40">
        <v>2</v>
      </c>
      <c r="GE40">
        <v>1</v>
      </c>
      <c r="GF40">
        <v>2</v>
      </c>
      <c r="GG40">
        <v>2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2</v>
      </c>
      <c r="GW40">
        <v>1</v>
      </c>
      <c r="GX40">
        <v>1</v>
      </c>
      <c r="GY40">
        <v>1</v>
      </c>
      <c r="GZ40">
        <v>1</v>
      </c>
      <c r="HA40">
        <v>1</v>
      </c>
      <c r="HB40" s="5">
        <f t="shared" si="48"/>
        <v>50</v>
      </c>
      <c r="HC40" s="5">
        <f t="shared" si="38"/>
        <v>1.25</v>
      </c>
      <c r="HD40" s="6">
        <v>1</v>
      </c>
      <c r="HE40">
        <v>0</v>
      </c>
      <c r="HF40">
        <v>0</v>
      </c>
      <c r="HG40">
        <v>0</v>
      </c>
      <c r="HH40">
        <v>0</v>
      </c>
      <c r="HI40">
        <v>0</v>
      </c>
      <c r="HJ40" s="7">
        <f t="shared" si="49"/>
        <v>0</v>
      </c>
      <c r="HK40">
        <v>3</v>
      </c>
      <c r="HL40">
        <v>4</v>
      </c>
      <c r="HM40">
        <v>3</v>
      </c>
      <c r="HN40">
        <v>3</v>
      </c>
      <c r="HO40">
        <v>3</v>
      </c>
      <c r="HP40">
        <v>3</v>
      </c>
      <c r="HQ40">
        <v>3</v>
      </c>
      <c r="HR40">
        <v>3</v>
      </c>
      <c r="HS40">
        <v>4</v>
      </c>
      <c r="HT40">
        <v>3</v>
      </c>
      <c r="HU40">
        <v>3</v>
      </c>
      <c r="HV40">
        <v>3</v>
      </c>
      <c r="HW40">
        <v>3</v>
      </c>
      <c r="HX40">
        <v>3</v>
      </c>
      <c r="HY40" s="13">
        <f t="shared" si="52"/>
        <v>44</v>
      </c>
      <c r="HZ40">
        <v>2</v>
      </c>
      <c r="IA40">
        <v>2</v>
      </c>
      <c r="IB40">
        <v>2</v>
      </c>
      <c r="IC40">
        <v>2</v>
      </c>
      <c r="ID40">
        <v>2</v>
      </c>
      <c r="IE40">
        <v>1</v>
      </c>
      <c r="IF40">
        <v>2</v>
      </c>
      <c r="IG40">
        <v>2</v>
      </c>
      <c r="IH40">
        <v>1</v>
      </c>
      <c r="II40">
        <v>2</v>
      </c>
      <c r="IJ40" s="14">
        <f t="shared" si="50"/>
        <v>18</v>
      </c>
      <c r="IK40">
        <v>4</v>
      </c>
      <c r="IL40">
        <v>4</v>
      </c>
      <c r="IM40">
        <v>4</v>
      </c>
      <c r="IN40">
        <v>4</v>
      </c>
      <c r="IO40">
        <v>4</v>
      </c>
      <c r="IP40">
        <v>4</v>
      </c>
      <c r="IQ40" s="15">
        <f t="shared" si="51"/>
        <v>24</v>
      </c>
      <c r="IR40" s="15">
        <f t="shared" si="39"/>
        <v>4</v>
      </c>
      <c r="IS40">
        <v>3</v>
      </c>
      <c r="IT40">
        <v>2</v>
      </c>
      <c r="IU40">
        <v>3</v>
      </c>
      <c r="IV40">
        <v>2</v>
      </c>
      <c r="IW40">
        <v>2</v>
      </c>
      <c r="IX40">
        <v>2</v>
      </c>
      <c r="IY40">
        <v>2</v>
      </c>
      <c r="IZ40">
        <v>2</v>
      </c>
      <c r="JA40">
        <v>2</v>
      </c>
      <c r="JB40">
        <v>2</v>
      </c>
      <c r="JC40" s="16">
        <v>22</v>
      </c>
    </row>
    <row r="41" spans="1:263" x14ac:dyDescent="0.25">
      <c r="R41" t="s">
        <v>141</v>
      </c>
      <c r="W41" t="s">
        <v>142</v>
      </c>
      <c r="Y41" t="s">
        <v>143</v>
      </c>
      <c r="AF41" t="s">
        <v>144</v>
      </c>
      <c r="AK41" s="24" t="s">
        <v>91</v>
      </c>
      <c r="AL41">
        <f>MIN(AL31:AL40)</f>
        <v>9</v>
      </c>
      <c r="BZ41" s="24" t="s">
        <v>91</v>
      </c>
      <c r="CA41">
        <f>MIN(CA31:CA40)</f>
        <v>62</v>
      </c>
      <c r="CB41">
        <f>MIN(CB31:CB40)</f>
        <v>1.55</v>
      </c>
      <c r="CH41" s="24" t="s">
        <v>91</v>
      </c>
      <c r="CI41">
        <f>MIN(CI31:CI40)</f>
        <v>1</v>
      </c>
      <c r="CW41" s="24" t="s">
        <v>91</v>
      </c>
      <c r="CX41">
        <f>MIN(CX31:CX40)</f>
        <v>33</v>
      </c>
      <c r="DH41" s="24" t="s">
        <v>91</v>
      </c>
      <c r="DI41">
        <f>MIN(DI31:DI40)</f>
        <v>7</v>
      </c>
      <c r="DO41" s="24" t="s">
        <v>91</v>
      </c>
      <c r="DP41">
        <f>MIN(DP31:DP40)</f>
        <v>8</v>
      </c>
      <c r="DQ41">
        <f>MIN(DQ31:DQ40)</f>
        <v>1.3333333333333333</v>
      </c>
      <c r="EA41" s="24" t="s">
        <v>91</v>
      </c>
      <c r="EB41">
        <f>MIN(EB31:EB40)</f>
        <v>17</v>
      </c>
      <c r="FL41" s="24" t="s">
        <v>91</v>
      </c>
      <c r="FM41" s="18">
        <f>MIN(FM31:FM40)</f>
        <v>4</v>
      </c>
      <c r="HA41" s="24" t="s">
        <v>91</v>
      </c>
      <c r="HB41" s="18">
        <f>MIN(HB31:HB40)</f>
        <v>40</v>
      </c>
      <c r="HC41" s="18">
        <f>MIN(HC31:HC40)</f>
        <v>1</v>
      </c>
      <c r="HD41" s="18"/>
      <c r="HI41" s="24" t="s">
        <v>91</v>
      </c>
      <c r="HJ41" s="18">
        <f>MIN(HJ31:HJ40)</f>
        <v>0</v>
      </c>
      <c r="HX41" s="24" t="s">
        <v>91</v>
      </c>
      <c r="HY41" s="18">
        <f>MIN(HY31:HY40)</f>
        <v>25</v>
      </c>
      <c r="II41" s="24" t="s">
        <v>91</v>
      </c>
      <c r="IJ41" s="18">
        <f>MIN(IJ31:IJ40)</f>
        <v>10</v>
      </c>
      <c r="IP41" s="24" t="s">
        <v>91</v>
      </c>
      <c r="IQ41" s="18">
        <f>MIN(IQ31:IQ40)</f>
        <v>12</v>
      </c>
      <c r="IR41" s="18">
        <f>MIN(IR31:IR40)</f>
        <v>2</v>
      </c>
      <c r="JC41">
        <f>MIN(JC31:JC40)</f>
        <v>12</v>
      </c>
    </row>
    <row r="42" spans="1:263" x14ac:dyDescent="0.25">
      <c r="AK42" s="24" t="s">
        <v>92</v>
      </c>
      <c r="AL42">
        <f>MAX(AL31:AL40)</f>
        <v>61</v>
      </c>
      <c r="BZ42" s="24" t="s">
        <v>92</v>
      </c>
      <c r="CA42">
        <f>MAX(CA31:CA40)</f>
        <v>122</v>
      </c>
      <c r="CB42">
        <f>MAX(CB31:CB40)</f>
        <v>3.05</v>
      </c>
      <c r="CH42" s="24" t="s">
        <v>92</v>
      </c>
      <c r="CI42">
        <f>MAX(CI31:CI40)</f>
        <v>4</v>
      </c>
      <c r="CW42" s="24" t="s">
        <v>92</v>
      </c>
      <c r="CX42">
        <f>MAX(CX31:CX40)</f>
        <v>56</v>
      </c>
      <c r="DH42" s="24" t="s">
        <v>92</v>
      </c>
      <c r="DI42">
        <f>MAX(DI31:DI40)</f>
        <v>22</v>
      </c>
      <c r="DO42" s="24" t="s">
        <v>92</v>
      </c>
      <c r="DP42">
        <f>MAX(DP31:DP40)</f>
        <v>24</v>
      </c>
      <c r="DQ42">
        <f>MAX(DQ31:DQ40)</f>
        <v>4</v>
      </c>
      <c r="EA42" s="24" t="s">
        <v>92</v>
      </c>
      <c r="EB42">
        <f>MAX(EB31:EB40)</f>
        <v>28</v>
      </c>
      <c r="FL42" s="24" t="s">
        <v>92</v>
      </c>
      <c r="FM42">
        <f>MAX(FM31:FM40)</f>
        <v>22</v>
      </c>
      <c r="HA42" s="24" t="s">
        <v>92</v>
      </c>
      <c r="HB42">
        <f>MAX(HB31:HB40)</f>
        <v>72</v>
      </c>
      <c r="HC42">
        <f>MAX(HC31:HC40)</f>
        <v>1.8</v>
      </c>
      <c r="HI42" s="24" t="s">
        <v>92</v>
      </c>
      <c r="HJ42">
        <f>MAX(HJ31:HJ40)</f>
        <v>2</v>
      </c>
      <c r="HX42" s="24" t="s">
        <v>92</v>
      </c>
      <c r="HY42">
        <f>MAX(HY31:HY40)</f>
        <v>50</v>
      </c>
      <c r="II42" s="24" t="s">
        <v>92</v>
      </c>
      <c r="IJ42">
        <f>MAX(IJ31:IJ40)</f>
        <v>20</v>
      </c>
      <c r="IP42" s="24" t="s">
        <v>92</v>
      </c>
      <c r="IQ42">
        <f>MAX(IQ31:IQ40)</f>
        <v>24</v>
      </c>
      <c r="IR42">
        <f>MAX(IR31:IR40)</f>
        <v>4</v>
      </c>
      <c r="JC42">
        <f>MAX(JC31:JC40)</f>
        <v>30</v>
      </c>
    </row>
    <row r="43" spans="1:263" x14ac:dyDescent="0.25">
      <c r="AK43" s="24" t="s">
        <v>94</v>
      </c>
      <c r="AL43">
        <f>AVERAGE(AL31:AL40)</f>
        <v>38.9</v>
      </c>
      <c r="BZ43" s="24" t="s">
        <v>94</v>
      </c>
      <c r="CA43">
        <f>AVERAGE(CA31:CA40)</f>
        <v>87.1</v>
      </c>
      <c r="CB43">
        <f>AVERAGE(CB31:CB40)</f>
        <v>2.1775000000000007</v>
      </c>
      <c r="CH43" s="24" t="s">
        <v>94</v>
      </c>
      <c r="CI43">
        <f>AVERAGE(CI31:CI40)</f>
        <v>3.2</v>
      </c>
      <c r="CW43" s="24" t="s">
        <v>94</v>
      </c>
      <c r="CX43">
        <f>AVERAGE(CX31:CX40)</f>
        <v>46.7</v>
      </c>
      <c r="DH43" s="24" t="s">
        <v>94</v>
      </c>
      <c r="DI43">
        <f>AVERAGE(DI31:DI40)</f>
        <v>16.7</v>
      </c>
      <c r="DO43" s="24" t="s">
        <v>94</v>
      </c>
      <c r="DP43">
        <f>AVERAGE(DP31:DP40)</f>
        <v>17.100000000000001</v>
      </c>
      <c r="DQ43">
        <f>AVERAGE(DQ31:DQ40)</f>
        <v>2.85</v>
      </c>
      <c r="EA43" s="24" t="s">
        <v>94</v>
      </c>
      <c r="EB43">
        <f>AVERAGE(EB31:EB40)</f>
        <v>22.3</v>
      </c>
      <c r="FL43" s="24" t="s">
        <v>94</v>
      </c>
      <c r="FM43">
        <f>AVERAGE(FM31:FM40)</f>
        <v>11</v>
      </c>
      <c r="HA43" s="24" t="s">
        <v>94</v>
      </c>
      <c r="HB43">
        <f>AVERAGE(HB31:HB40)</f>
        <v>51.2</v>
      </c>
      <c r="HC43">
        <f>AVERAGE(HC31:HC40)</f>
        <v>1.28</v>
      </c>
      <c r="HI43" s="24" t="s">
        <v>94</v>
      </c>
      <c r="HJ43">
        <f>AVERAGE(HJ31:HJ40)</f>
        <v>0.3</v>
      </c>
      <c r="HX43" s="24" t="s">
        <v>94</v>
      </c>
      <c r="HY43">
        <f>AVERAGE(HY31:HY40)</f>
        <v>42.6</v>
      </c>
      <c r="II43" s="24" t="s">
        <v>94</v>
      </c>
      <c r="IJ43">
        <f>AVERAGE(IJ31:IJ40)</f>
        <v>18.3</v>
      </c>
      <c r="IP43" s="24" t="s">
        <v>94</v>
      </c>
      <c r="IQ43">
        <f>AVERAGE(IQ31:IQ40)</f>
        <v>20.399999999999999</v>
      </c>
      <c r="IR43">
        <f>AVERAGE(IR31:IR40)</f>
        <v>3.4</v>
      </c>
      <c r="JC43">
        <f>AVERAGE(JC31:JC40)</f>
        <v>24.3</v>
      </c>
    </row>
    <row r="44" spans="1:263" x14ac:dyDescent="0.25">
      <c r="AK44" s="24" t="s">
        <v>93</v>
      </c>
      <c r="AL44">
        <f>STDEV(AL31:AL40)</f>
        <v>16.702960482767384</v>
      </c>
      <c r="BZ44" s="24" t="s">
        <v>93</v>
      </c>
      <c r="CA44">
        <f>STDEV(CA31:CA40)</f>
        <v>19.243758006746539</v>
      </c>
      <c r="CB44">
        <f>STDEV(CB31:CB40)</f>
        <v>0.48109395016865947</v>
      </c>
      <c r="CH44" s="24" t="s">
        <v>93</v>
      </c>
      <c r="CI44">
        <f>STDEV(CI31:CI40)</f>
        <v>1.1352924243950933</v>
      </c>
      <c r="CW44" s="24" t="s">
        <v>93</v>
      </c>
      <c r="CX44">
        <f>STDEV(CX31:CX40)</f>
        <v>7.1344235926947759</v>
      </c>
      <c r="DH44" s="24" t="s">
        <v>93</v>
      </c>
      <c r="DI44">
        <f>STDEV(DI31:DI40)</f>
        <v>4.4733780424988794</v>
      </c>
      <c r="DO44" s="24" t="s">
        <v>93</v>
      </c>
      <c r="DP44">
        <f>STDEV(DP31:DP40)</f>
        <v>6.4368729468068064</v>
      </c>
      <c r="DQ44">
        <f>STDEV(DQ31:DQ40)</f>
        <v>1.0728121578011351</v>
      </c>
      <c r="EA44" s="24" t="s">
        <v>93</v>
      </c>
      <c r="EB44">
        <f>STDEV(EB31:EB40)</f>
        <v>3.1989581637360271</v>
      </c>
      <c r="FL44" s="24" t="s">
        <v>93</v>
      </c>
      <c r="FM44">
        <f>STDEV(FM31:FM40)</f>
        <v>5.5176484524156164</v>
      </c>
      <c r="HA44" s="24" t="s">
        <v>93</v>
      </c>
      <c r="HB44">
        <f>STDEV(HB31:HB40)</f>
        <v>8.5088189544730497</v>
      </c>
      <c r="HC44">
        <f>STDEV(HC31:HC40)</f>
        <v>0.21272047386182494</v>
      </c>
      <c r="HI44" s="24" t="s">
        <v>93</v>
      </c>
      <c r="HJ44">
        <f>STDEV(HJ31:HJ40)</f>
        <v>0.67494855771055284</v>
      </c>
      <c r="HX44" s="24" t="s">
        <v>93</v>
      </c>
      <c r="HY44">
        <f>STDEV(HY31:HY40)</f>
        <v>6.9952364744398379</v>
      </c>
      <c r="II44" s="24" t="s">
        <v>93</v>
      </c>
      <c r="IJ44">
        <f>STDEV(IJ31:IJ40)</f>
        <v>3.1287200080686159</v>
      </c>
      <c r="IP44" s="24" t="s">
        <v>93</v>
      </c>
      <c r="IQ44">
        <f>STDEV(IQ31:IQ40)</f>
        <v>5.7965506984757722</v>
      </c>
      <c r="IR44">
        <f>STDEV(IR31:IR40)</f>
        <v>0.96609178307929622</v>
      </c>
      <c r="JC44">
        <f>STDEV(JC31:JC40)</f>
        <v>5.2291915670057918</v>
      </c>
    </row>
    <row r="46" spans="1:263" x14ac:dyDescent="0.25">
      <c r="AK46" s="24" t="s">
        <v>95</v>
      </c>
      <c r="BZ46" s="24" t="s">
        <v>95</v>
      </c>
      <c r="CH46" s="24" t="s">
        <v>95</v>
      </c>
      <c r="CW46" s="24" t="s">
        <v>95</v>
      </c>
      <c r="DH46" s="24" t="s">
        <v>95</v>
      </c>
      <c r="DO46" s="24" t="s">
        <v>95</v>
      </c>
      <c r="EA46" s="24" t="s">
        <v>95</v>
      </c>
      <c r="FL46" s="24" t="s">
        <v>95</v>
      </c>
      <c r="HA46" s="24" t="s">
        <v>95</v>
      </c>
      <c r="HI46" s="24" t="s">
        <v>95</v>
      </c>
      <c r="HX46" s="24" t="s">
        <v>95</v>
      </c>
      <c r="II46" s="24" t="s">
        <v>95</v>
      </c>
      <c r="IP46" s="24" t="s">
        <v>95</v>
      </c>
      <c r="JB46" t="s">
        <v>95</v>
      </c>
    </row>
    <row r="47" spans="1:263" x14ac:dyDescent="0.25">
      <c r="AK47" s="24" t="s">
        <v>94</v>
      </c>
      <c r="AL47">
        <f>AVERAGE(AL4:AL12, AL17:AL26, AL31:AL40)</f>
        <v>37.620689655172413</v>
      </c>
      <c r="BZ47" s="24" t="s">
        <v>94</v>
      </c>
      <c r="CA47">
        <f>AVERAGE(CA4:CA12, CA17:CA26, CA31:CA40)</f>
        <v>86.65517241379311</v>
      </c>
      <c r="CB47">
        <f>AVERAGE(CB4:CB12, CB17:CB26, CB31:CB40)</f>
        <v>2.1663793103448272</v>
      </c>
      <c r="CH47" s="24" t="s">
        <v>94</v>
      </c>
      <c r="CI47">
        <f>AVERAGE(CI4:CI12, CI17:CI26, CI31:CI40)</f>
        <v>2.7241379310344827</v>
      </c>
      <c r="CW47" s="24" t="s">
        <v>94</v>
      </c>
      <c r="CX47">
        <f>AVERAGE(CX4:CX12, CX17:CX26, CX31:CX40)</f>
        <v>42.275862068965516</v>
      </c>
      <c r="DH47" s="24" t="s">
        <v>94</v>
      </c>
      <c r="DI47">
        <f>AVERAGE(DI4:DI12, DI17:DI26, DI31:DI40)</f>
        <v>16.586206896551722</v>
      </c>
      <c r="DO47" s="24" t="s">
        <v>94</v>
      </c>
      <c r="DP47">
        <f>AVERAGE(DP4:DP12, DP17:DP26, DP31:DP40)</f>
        <v>16.379310344827587</v>
      </c>
      <c r="DQ47">
        <f>AVERAGE(DQ4:DQ12, DQ17:DQ26, DQ31:DQ40)</f>
        <v>2.7298850574712645</v>
      </c>
      <c r="EA47" s="24" t="s">
        <v>94</v>
      </c>
      <c r="EB47">
        <f>AVERAGE(EB4:EB12, EB17:EB26, EB31:EB40)</f>
        <v>22.241379310344829</v>
      </c>
      <c r="FL47" s="24" t="s">
        <v>94</v>
      </c>
      <c r="FM47">
        <f>AVERAGE(FM4:FM12, FM17:FM26, FM31:FM40)</f>
        <v>24.862068965517242</v>
      </c>
      <c r="HA47" s="24" t="s">
        <v>94</v>
      </c>
      <c r="HB47">
        <f>AVERAGE(HB4:HB12, HB17:HB26, HB31:HB40)</f>
        <v>68.65517241379311</v>
      </c>
      <c r="HC47">
        <f>AVERAGE(HC4:HC12, HC17:HC26, HC31:HC40)</f>
        <v>1.7163793103448275</v>
      </c>
      <c r="HI47" s="24" t="s">
        <v>94</v>
      </c>
      <c r="HJ47">
        <f>AVERAGE(HJ4:HJ12, HJ17:HJ26, HJ31:HJ40)</f>
        <v>1.2413793103448276</v>
      </c>
      <c r="HX47" s="24" t="s">
        <v>94</v>
      </c>
      <c r="HY47">
        <f>AVERAGE(HY4:HY12, HY17:HY26, HY31:HY40)</f>
        <v>39.068965517241381</v>
      </c>
      <c r="II47" s="24" t="s">
        <v>94</v>
      </c>
      <c r="IJ47">
        <f>AVERAGE(IJ4:IJ12, IJ17:IJ26, IJ31:IJ40)</f>
        <v>16.862068965517242</v>
      </c>
      <c r="IP47" s="24" t="s">
        <v>94</v>
      </c>
      <c r="IQ47">
        <f>AVERAGE(IQ4:IQ12, IQ17:IQ26, IQ31:IQ40)</f>
        <v>17.827586206896552</v>
      </c>
      <c r="IR47">
        <f>AVERAGE(IR4:IR12, IR17:IR26, IR31:IR40)</f>
        <v>2.9712643678160915</v>
      </c>
      <c r="JB47" t="s">
        <v>94</v>
      </c>
      <c r="JC47">
        <f>AVERAGE(JC4:JC12, JC17:JC26, JC31:JC40)</f>
        <v>22.724137931034484</v>
      </c>
    </row>
    <row r="48" spans="1:263" x14ac:dyDescent="0.25">
      <c r="AK48" s="24" t="s">
        <v>93</v>
      </c>
      <c r="AL48">
        <f>STDEV(AL4:AL12, AL17:AL26, AL31:AL40)</f>
        <v>17.346085999653905</v>
      </c>
      <c r="BZ48" s="24" t="s">
        <v>93</v>
      </c>
      <c r="CA48">
        <f>STDEV(CA4:CA12, CA17:CA26, CA31:CA40)</f>
        <v>20.800542338515001</v>
      </c>
      <c r="CB48">
        <f>STDEV(CB4:CB12, CB17:CB26, CB31:CB40)</f>
        <v>0.52001355846287489</v>
      </c>
      <c r="CH48" s="24" t="s">
        <v>93</v>
      </c>
      <c r="CI48">
        <f>STDEV(CI4:CI12, CI17:CI26, CI31:CI40)</f>
        <v>1.5094121780192147</v>
      </c>
      <c r="CW48" s="24" t="s">
        <v>93</v>
      </c>
      <c r="CX48">
        <f>STDEV(CX4:CX12, CX17:CX26, CX31:CX40)</f>
        <v>7.8371667243979077</v>
      </c>
      <c r="DH48" s="24" t="s">
        <v>93</v>
      </c>
      <c r="DI48">
        <f>STDEV(DI4:DI12, DI17:DI26, DI31:DI40)</f>
        <v>5.8768142571301221</v>
      </c>
      <c r="DO48" s="24" t="s">
        <v>93</v>
      </c>
      <c r="DP48">
        <f>STDEV(DP4:DP12, DP17:DP26, DP31:DP40)</f>
        <v>5.9125399008224671</v>
      </c>
      <c r="DQ48">
        <f>STDEV(DQ4:DQ12, DQ17:DQ26, DQ31:DQ40)</f>
        <v>0.98542331680374406</v>
      </c>
      <c r="EA48" s="24" t="s">
        <v>93</v>
      </c>
      <c r="EB48">
        <f>STDEV(EB4:EB12, EB17:EB26, EB31:EB40)</f>
        <v>4.9760510190152178</v>
      </c>
      <c r="FL48" s="24" t="s">
        <v>93</v>
      </c>
      <c r="FM48">
        <f>STDEV(FM4:FM12, FM17:FM26, FM31:FM40)</f>
        <v>17.445269800826967</v>
      </c>
      <c r="HA48" s="24" t="s">
        <v>93</v>
      </c>
      <c r="HB48">
        <f>STDEV(HB4:HB12, HB17:HB26, HB31:HB40)</f>
        <v>21.536142150329809</v>
      </c>
      <c r="HC48">
        <f>STDEV(HC4:HC12, HC17:HC26, HC31:HC40)</f>
        <v>0.53840355375824467</v>
      </c>
      <c r="HI48" s="24" t="s">
        <v>93</v>
      </c>
      <c r="HJ48">
        <f>STDEV(HJ4:HJ12, HJ17:HJ26, HJ31:HJ40)</f>
        <v>1.5958690515066236</v>
      </c>
      <c r="HX48" s="24" t="s">
        <v>93</v>
      </c>
      <c r="HY48">
        <f>STDEV(HY4:HY12, HY17:HY26, HY31:HY40)</f>
        <v>8.1149378770738831</v>
      </c>
      <c r="II48" s="24" t="s">
        <v>93</v>
      </c>
      <c r="IJ48">
        <f>STDEV(IJ4:IJ12, IJ17:IJ26, IJ31:IJ40)</f>
        <v>4.3893063064927178</v>
      </c>
      <c r="IP48" s="24" t="s">
        <v>93</v>
      </c>
      <c r="IQ48">
        <f>STDEV(IQ4:IQ12, IQ17:IQ26, IQ31:IQ40)</f>
        <v>6.4090837628948902</v>
      </c>
      <c r="IR48">
        <f>STDEV(IR4:IR12, IR17:IR26, IR31:IR40)</f>
        <v>1.0681806271491496</v>
      </c>
      <c r="JB48" t="s">
        <v>93</v>
      </c>
      <c r="JC48">
        <f>STDEV(JC4:JC12, JC17:JC26, JC31:JC40)</f>
        <v>5.6814016864813111</v>
      </c>
    </row>
    <row r="49" spans="37:263" x14ac:dyDescent="0.25">
      <c r="AK49" s="24" t="s">
        <v>91</v>
      </c>
      <c r="AL49">
        <f>MIN(AL4:AL12, AL17:AL26, AL31:AL40)</f>
        <v>5</v>
      </c>
      <c r="BZ49" s="24" t="s">
        <v>91</v>
      </c>
      <c r="CA49">
        <f>MIN(CA4:CA12, CA17:CA26, CA31:CA40)</f>
        <v>48</v>
      </c>
      <c r="CB49">
        <f>MIN(CB4:CB12, CB17:CB26, CB31:CB40)</f>
        <v>1.2</v>
      </c>
      <c r="CH49" s="24" t="s">
        <v>91</v>
      </c>
      <c r="CI49">
        <f>MIN(CI4:CI12, CI17:CI26, CI31:CI40)</f>
        <v>0</v>
      </c>
      <c r="CW49" s="24" t="s">
        <v>91</v>
      </c>
      <c r="CX49">
        <f>MIN(CX4:CX12, CX17:CX26, CX31:CX40)</f>
        <v>30</v>
      </c>
      <c r="DH49" s="24" t="s">
        <v>91</v>
      </c>
      <c r="DI49">
        <f>MIN(DI4:DI12, DI17:DI26, DI31:DI40)</f>
        <v>4</v>
      </c>
      <c r="DO49" s="24" t="s">
        <v>91</v>
      </c>
      <c r="DP49">
        <f>MIN(DP4:DP12, DP17:DP26, DP31:DP40)</f>
        <v>6</v>
      </c>
      <c r="DQ49">
        <f>MIN(DQ4:DQ12, DQ17:DQ26, DQ31:DQ40)</f>
        <v>1</v>
      </c>
      <c r="EA49" s="24" t="s">
        <v>91</v>
      </c>
      <c r="EB49">
        <f>MIN(EB4:EB12, EB17:EB26, EB31:EB40)</f>
        <v>10</v>
      </c>
      <c r="FL49" s="24" t="s">
        <v>91</v>
      </c>
      <c r="FM49">
        <f>MIN(FM4:FM12, FM17:FM26, FM31:FM40)</f>
        <v>2</v>
      </c>
      <c r="HA49" s="24" t="s">
        <v>91</v>
      </c>
      <c r="HB49">
        <f>MIN(HB4:HB12, HB17:HB26, HB31:HB40)</f>
        <v>40</v>
      </c>
      <c r="HC49">
        <f>MIN(HC4:HC12, HC17:HC26, HC31:HC40)</f>
        <v>1</v>
      </c>
      <c r="HI49" s="24" t="s">
        <v>91</v>
      </c>
      <c r="HJ49">
        <f>MIN(HJ4:HJ12, HJ17:HJ26, HJ31:HJ40)</f>
        <v>0</v>
      </c>
      <c r="HX49" s="24" t="s">
        <v>91</v>
      </c>
      <c r="HY49">
        <f>MIN(HY4:HY12, HY17:HY26, HY31:HY40)</f>
        <v>23</v>
      </c>
      <c r="II49" s="24" t="s">
        <v>91</v>
      </c>
      <c r="IJ49">
        <f>MIN(IJ4:IJ12, IJ17:IJ26, IJ31:IJ40)</f>
        <v>7</v>
      </c>
      <c r="IP49" s="24" t="s">
        <v>91</v>
      </c>
      <c r="IQ49">
        <f>MIN(IQ4:IQ12, IQ17:IQ26, IQ31:IQ40)</f>
        <v>6</v>
      </c>
      <c r="IR49">
        <f>MIN(IR4:IR12, IR17:IR26, IR31:IR40)</f>
        <v>1</v>
      </c>
      <c r="JB49" t="s">
        <v>91</v>
      </c>
      <c r="JC49">
        <f>MIN(JC4:JC12, JC17:JC26, JC31:JC40)</f>
        <v>12</v>
      </c>
    </row>
    <row r="50" spans="37:263" x14ac:dyDescent="0.25">
      <c r="AK50" s="24" t="s">
        <v>92</v>
      </c>
      <c r="AL50">
        <f>MAX(AL4:AL12, AL17:AL26, AL31:AL40)</f>
        <v>71</v>
      </c>
      <c r="BZ50" s="24" t="s">
        <v>92</v>
      </c>
      <c r="CA50">
        <f>MAX(CA4:CA12, CA17:CA26, CA31:CA40)</f>
        <v>133</v>
      </c>
      <c r="CB50">
        <f>MAX(CB4:CB12, CB17:CB26, CB31:CB40)</f>
        <v>3.3250000000000002</v>
      </c>
      <c r="CH50" s="24" t="s">
        <v>92</v>
      </c>
      <c r="CI50">
        <f>MAX(CI4:CI12, CI17:CI26, CI31:CI40)</f>
        <v>5</v>
      </c>
      <c r="CW50" s="24" t="s">
        <v>92</v>
      </c>
      <c r="CX50">
        <f>MAX(CX4:CX12, CX17:CX26, CX31:CX40)</f>
        <v>57</v>
      </c>
      <c r="DH50" s="24" t="s">
        <v>92</v>
      </c>
      <c r="DI50">
        <f>MAX(DI4:DI12, DI17:DI26, DI31:DI40)</f>
        <v>35</v>
      </c>
      <c r="DO50" s="24" t="s">
        <v>92</v>
      </c>
      <c r="DP50">
        <f>MAX(DP4:DP12, DP17:DP26, DP31:DP40)</f>
        <v>29</v>
      </c>
      <c r="DQ50">
        <f>MAX(DQ4:DQ12, DQ17:DQ26, DQ31:DQ40)</f>
        <v>4.833333333333333</v>
      </c>
      <c r="EA50" s="24" t="s">
        <v>92</v>
      </c>
      <c r="EB50">
        <f>MAX(EB4:EB12, EB17:EB26, EB31:EB40)</f>
        <v>32</v>
      </c>
      <c r="FL50" s="24" t="s">
        <v>92</v>
      </c>
      <c r="FM50">
        <f>MAX(FM4:FM12, FM17:FM26, FM31:FM40)</f>
        <v>54</v>
      </c>
      <c r="HA50" s="24" t="s">
        <v>92</v>
      </c>
      <c r="HB50">
        <f>MAX(HB4:HB12, HB17:HB26, HB31:HB40)</f>
        <v>111</v>
      </c>
      <c r="HC50">
        <f>MAX(HC4:HC12, HC17:HC26, HC31:HC40)</f>
        <v>2.7749999999999999</v>
      </c>
      <c r="HI50" s="24" t="s">
        <v>92</v>
      </c>
      <c r="HJ50">
        <f>MAX(HJ4:HJ12, HJ17:HJ26, HJ31:HJ40)</f>
        <v>5</v>
      </c>
      <c r="HX50" s="24" t="s">
        <v>92</v>
      </c>
      <c r="HY50">
        <f>MAX(HY4:HY12, HY17:HY26, HY31:HY40)</f>
        <v>56</v>
      </c>
      <c r="II50" s="24" t="s">
        <v>92</v>
      </c>
      <c r="IJ50">
        <f>MAX(IJ4:IJ12, IJ17:IJ26, IJ31:IJ40)</f>
        <v>27</v>
      </c>
      <c r="IP50" s="24" t="s">
        <v>92</v>
      </c>
      <c r="IQ50">
        <f>MAX(IQ4:IQ12, IQ17:IQ26, IQ31:IQ40)</f>
        <v>26</v>
      </c>
      <c r="IR50">
        <f>MAX(IR4:IR12, IR17:IR26, IR31:IR40)</f>
        <v>4.333333333333333</v>
      </c>
      <c r="JB50" t="s">
        <v>92</v>
      </c>
      <c r="JC50">
        <f>MAX(JC4:JC12, JC17:JC26, JC31:JC40)</f>
        <v>32</v>
      </c>
    </row>
    <row r="52" spans="37:263" x14ac:dyDescent="0.25">
      <c r="AK52" s="24" t="s">
        <v>100</v>
      </c>
      <c r="CA52" t="s">
        <v>115</v>
      </c>
      <c r="DO52" s="24" t="s">
        <v>99</v>
      </c>
    </row>
    <row r="53" spans="37:263" x14ac:dyDescent="0.25">
      <c r="CH53" s="20" t="s">
        <v>97</v>
      </c>
      <c r="CW53" s="24" t="s">
        <v>96</v>
      </c>
      <c r="DH53" s="24" t="s">
        <v>130</v>
      </c>
      <c r="DO53" s="24" t="s">
        <v>132</v>
      </c>
      <c r="EA53" s="24" t="s">
        <v>98</v>
      </c>
    </row>
    <row r="54" spans="37:263" x14ac:dyDescent="0.25">
      <c r="DZ54" t="s">
        <v>131</v>
      </c>
    </row>
  </sheetData>
  <mergeCells count="23">
    <mergeCell ref="IK2:IQ2"/>
    <mergeCell ref="IS2:IZ2"/>
    <mergeCell ref="DJ2:DP2"/>
    <mergeCell ref="DR2:EB2"/>
    <mergeCell ref="HD2:HJ2"/>
    <mergeCell ref="HK2:HY2"/>
    <mergeCell ref="HZ2:IJ2"/>
    <mergeCell ref="B31:B40"/>
    <mergeCell ref="A1:EB1"/>
    <mergeCell ref="ED2:EQ2"/>
    <mergeCell ref="ES2:FM2"/>
    <mergeCell ref="FN2:HB2"/>
    <mergeCell ref="C2:P2"/>
    <mergeCell ref="A2:A3"/>
    <mergeCell ref="ED1:IZ1"/>
    <mergeCell ref="B2:B3"/>
    <mergeCell ref="B4:B12"/>
    <mergeCell ref="B17:B26"/>
    <mergeCell ref="R2:AL2"/>
    <mergeCell ref="AM2:CA2"/>
    <mergeCell ref="CC2:CI2"/>
    <mergeCell ref="CJ2:CX2"/>
    <mergeCell ref="CY2:D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17C7-CE40-455E-A11C-3EB9AE236D1C}">
  <dimension ref="A2:L32"/>
  <sheetViews>
    <sheetView workbookViewId="0">
      <selection activeCell="T33" sqref="T33"/>
    </sheetView>
  </sheetViews>
  <sheetFormatPr defaultRowHeight="15" x14ac:dyDescent="0.25"/>
  <sheetData>
    <row r="2" spans="1:12" x14ac:dyDescent="0.25">
      <c r="A2" t="s">
        <v>106</v>
      </c>
      <c r="B2" s="28"/>
      <c r="C2" s="28"/>
      <c r="D2" s="28" t="s">
        <v>139</v>
      </c>
      <c r="E2" s="28" t="s">
        <v>106</v>
      </c>
      <c r="F2" s="28"/>
      <c r="G2" s="28"/>
      <c r="H2" s="28"/>
      <c r="I2" s="28" t="s">
        <v>140</v>
      </c>
      <c r="J2" s="28" t="s">
        <v>106</v>
      </c>
      <c r="K2" s="28"/>
      <c r="L2" s="28"/>
    </row>
    <row r="3" spans="1:12" x14ac:dyDescent="0.25">
      <c r="B3" s="35"/>
      <c r="D3" s="31" t="s">
        <v>103</v>
      </c>
      <c r="E3" s="31" t="s">
        <v>93</v>
      </c>
      <c r="F3" s="31" t="s">
        <v>101</v>
      </c>
      <c r="G3" s="31" t="s">
        <v>102</v>
      </c>
      <c r="H3" s="31"/>
      <c r="I3" s="31" t="s">
        <v>103</v>
      </c>
      <c r="J3" s="31" t="s">
        <v>93</v>
      </c>
      <c r="K3" s="31" t="s">
        <v>101</v>
      </c>
      <c r="L3" s="31" t="s">
        <v>102</v>
      </c>
    </row>
    <row r="4" spans="1:12" x14ac:dyDescent="0.25">
      <c r="B4" s="36" t="s">
        <v>107</v>
      </c>
      <c r="D4" s="25">
        <f>'raw-scores'!AL15</f>
        <v>34.444444444444443</v>
      </c>
      <c r="E4" s="25">
        <f>'raw-scores'!AL16</f>
        <v>23.843820536520102</v>
      </c>
      <c r="F4" s="33">
        <f>'raw-scores'!AL13</f>
        <v>5</v>
      </c>
      <c r="G4" s="33">
        <f>'raw-scores'!AL14</f>
        <v>71</v>
      </c>
      <c r="I4" s="25">
        <f>'raw-scores'!FM15</f>
        <v>28.666666666666668</v>
      </c>
      <c r="J4" s="25">
        <f>'raw-scores'!FM16</f>
        <v>20.081085628023203</v>
      </c>
      <c r="K4" s="33">
        <f>'raw-scores'!FM13</f>
        <v>2</v>
      </c>
      <c r="L4" s="33">
        <f>'raw-scores'!FM14</f>
        <v>53</v>
      </c>
    </row>
    <row r="5" spans="1:12" x14ac:dyDescent="0.25">
      <c r="B5" s="36" t="s">
        <v>134</v>
      </c>
      <c r="D5" s="25">
        <f>'raw-scores'!CI15</f>
        <v>3</v>
      </c>
      <c r="E5" s="25">
        <f>'raw-scores'!CI16</f>
        <v>1.7320508075688772</v>
      </c>
      <c r="F5" s="33">
        <f>'raw-scores'!CI13</f>
        <v>1</v>
      </c>
      <c r="G5" s="33">
        <f>'raw-scores'!CI14</f>
        <v>5</v>
      </c>
      <c r="I5" s="25">
        <f>'raw-scores'!HJ15</f>
        <v>2.4444444444444446</v>
      </c>
      <c r="J5" s="25">
        <f>'raw-scores'!HJ16</f>
        <v>2.0069324297987157</v>
      </c>
      <c r="K5" s="33">
        <f>'raw-scores'!HJ13</f>
        <v>0</v>
      </c>
      <c r="L5" s="33">
        <f>'raw-scores'!HJ14</f>
        <v>5</v>
      </c>
    </row>
    <row r="6" spans="1:12" x14ac:dyDescent="0.25">
      <c r="B6" s="36" t="s">
        <v>133</v>
      </c>
      <c r="D6" s="25">
        <f>'raw-scores'!CB15</f>
        <v>2.0694444444444446</v>
      </c>
      <c r="E6" s="25">
        <f>'raw-scores'!CB16</f>
        <v>0.70939870861017063</v>
      </c>
      <c r="F6" s="33">
        <f>'raw-scores'!CB13</f>
        <v>1.2</v>
      </c>
      <c r="G6" s="33">
        <f>'raw-scores'!CB14</f>
        <v>3.3250000000000002</v>
      </c>
      <c r="I6" s="25">
        <f>'raw-scores'!HC15</f>
        <v>1.8555555555555554</v>
      </c>
      <c r="J6" s="25">
        <f>'raw-scores'!HC16</f>
        <v>0.6117058343499574</v>
      </c>
      <c r="K6" s="33">
        <f>'raw-scores'!HC13</f>
        <v>1.075</v>
      </c>
      <c r="L6" s="33">
        <f>'raw-scores'!HC14</f>
        <v>2.7</v>
      </c>
    </row>
    <row r="7" spans="1:12" x14ac:dyDescent="0.25">
      <c r="B7" s="36" t="s">
        <v>135</v>
      </c>
      <c r="D7" s="25">
        <f>'raw-scores'!CX15</f>
        <v>38.888888888888886</v>
      </c>
      <c r="E7" s="25">
        <f>'raw-scores'!CX16</f>
        <v>9.6104688288923281</v>
      </c>
      <c r="F7" s="33">
        <f>'raw-scores'!CX13</f>
        <v>30</v>
      </c>
      <c r="G7" s="33">
        <f>'raw-scores'!CX14</f>
        <v>57</v>
      </c>
      <c r="I7" s="25">
        <f>'raw-scores'!HY15</f>
        <v>37</v>
      </c>
      <c r="J7" s="25">
        <f>'raw-scores'!HY16</f>
        <v>10.700467279516348</v>
      </c>
      <c r="K7" s="33">
        <f>'raw-scores'!HY13</f>
        <v>23</v>
      </c>
      <c r="L7" s="33">
        <f>'raw-scores'!HY14</f>
        <v>56</v>
      </c>
    </row>
    <row r="8" spans="1:12" x14ac:dyDescent="0.25">
      <c r="B8" s="36" t="s">
        <v>136</v>
      </c>
      <c r="D8" s="25">
        <f>'raw-scores'!DI15</f>
        <v>17.555555555555557</v>
      </c>
      <c r="E8" s="25">
        <f>'raw-scores'!DI16</f>
        <v>9.2616293262998699</v>
      </c>
      <c r="F8" s="33">
        <f>'raw-scores'!DI13</f>
        <v>4</v>
      </c>
      <c r="G8" s="33">
        <f>'raw-scores'!DI14</f>
        <v>35</v>
      </c>
      <c r="I8" s="25">
        <f>'raw-scores'!IJ15</f>
        <v>16.333333333333332</v>
      </c>
      <c r="J8" s="25">
        <f>'raw-scores'!IJ16</f>
        <v>5.8309518948453007</v>
      </c>
      <c r="K8" s="33">
        <f>'raw-scores'!IJ13</f>
        <v>8</v>
      </c>
      <c r="L8" s="33">
        <f>'raw-scores'!IJ14</f>
        <v>27</v>
      </c>
    </row>
    <row r="9" spans="1:12" x14ac:dyDescent="0.25">
      <c r="B9" s="36" t="s">
        <v>138</v>
      </c>
      <c r="D9" s="25">
        <f>'raw-scores'!DQ15</f>
        <v>2.6481481481481479</v>
      </c>
      <c r="E9" s="25">
        <f>'raw-scores'!DQ16</f>
        <v>1.2786832540537676</v>
      </c>
      <c r="F9" s="33">
        <f>'raw-scores'!DQ13</f>
        <v>1</v>
      </c>
      <c r="G9" s="33">
        <f>'raw-scores'!DQ14</f>
        <v>4.833333333333333</v>
      </c>
      <c r="I9" s="25">
        <f>'raw-scores'!IR15</f>
        <v>2.6296296296296293</v>
      </c>
      <c r="J9" s="25">
        <f>'raw-scores'!IR16</f>
        <v>1.2325948740185444</v>
      </c>
      <c r="K9" s="33">
        <f>'raw-scores'!IR13</f>
        <v>1</v>
      </c>
      <c r="L9" s="33">
        <f>'raw-scores'!IR14</f>
        <v>4.333333333333333</v>
      </c>
    </row>
    <row r="10" spans="1:12" x14ac:dyDescent="0.25">
      <c r="B10" s="36" t="s">
        <v>137</v>
      </c>
      <c r="D10" s="25">
        <f>'raw-scores'!EB15</f>
        <v>20.333333333333332</v>
      </c>
      <c r="E10" s="25">
        <f>'raw-scores'!EB16</f>
        <v>6.2849025449882676</v>
      </c>
      <c r="F10" s="33">
        <f>'raw-scores'!EB13</f>
        <v>10</v>
      </c>
      <c r="G10" s="33">
        <f>'raw-scores'!EB14</f>
        <v>30</v>
      </c>
      <c r="I10" s="25">
        <v>20.333333333333332</v>
      </c>
      <c r="J10" s="25">
        <v>6.2249497989943663</v>
      </c>
      <c r="K10" s="33">
        <v>12</v>
      </c>
      <c r="L10" s="33">
        <v>30</v>
      </c>
    </row>
    <row r="13" spans="1:12" x14ac:dyDescent="0.25">
      <c r="A13" t="s">
        <v>105</v>
      </c>
      <c r="B13" s="30"/>
      <c r="C13" s="30"/>
      <c r="D13" s="30" t="s">
        <v>139</v>
      </c>
      <c r="E13" s="30" t="s">
        <v>105</v>
      </c>
      <c r="F13" s="30"/>
      <c r="G13" s="30"/>
      <c r="H13" s="30"/>
      <c r="I13" s="30" t="s">
        <v>140</v>
      </c>
      <c r="J13" s="30" t="s">
        <v>105</v>
      </c>
      <c r="K13" s="30"/>
      <c r="L13" s="30"/>
    </row>
    <row r="14" spans="1:12" x14ac:dyDescent="0.25">
      <c r="B14" s="35"/>
      <c r="D14" s="31" t="s">
        <v>103</v>
      </c>
      <c r="E14" s="31" t="s">
        <v>93</v>
      </c>
      <c r="F14" s="31" t="s">
        <v>101</v>
      </c>
      <c r="G14" s="31" t="s">
        <v>102</v>
      </c>
      <c r="H14" s="31"/>
      <c r="I14" s="31" t="s">
        <v>103</v>
      </c>
      <c r="J14" s="31" t="s">
        <v>93</v>
      </c>
      <c r="K14" s="31" t="s">
        <v>101</v>
      </c>
      <c r="L14" s="31" t="s">
        <v>102</v>
      </c>
    </row>
    <row r="15" spans="1:12" x14ac:dyDescent="0.25">
      <c r="B15" s="36" t="s">
        <v>107</v>
      </c>
      <c r="D15" s="25">
        <f>'raw-scores'!AL29</f>
        <v>39.200000000000003</v>
      </c>
      <c r="E15" s="25">
        <f>'raw-scores'!AL30</f>
        <v>11.707547423208105</v>
      </c>
      <c r="F15" s="33">
        <f>'raw-scores'!AL27</f>
        <v>17</v>
      </c>
      <c r="G15" s="33">
        <f>'raw-scores'!AL28</f>
        <v>55</v>
      </c>
      <c r="I15" s="25">
        <f>'raw-scores'!FM29</f>
        <v>35.299999999999997</v>
      </c>
      <c r="J15" s="25">
        <f>'raw-scores'!FM30</f>
        <v>14.453373308677806</v>
      </c>
      <c r="K15" s="33">
        <f>'raw-scores'!FM27</f>
        <v>7</v>
      </c>
      <c r="L15" s="33">
        <f>'raw-scores'!FM28</f>
        <v>54</v>
      </c>
    </row>
    <row r="16" spans="1:12" x14ac:dyDescent="0.25">
      <c r="B16" s="36" t="s">
        <v>134</v>
      </c>
      <c r="D16" s="25">
        <f>'raw-scores'!CI29</f>
        <v>2</v>
      </c>
      <c r="E16" s="25">
        <f>'raw-scores'!CI30</f>
        <v>1.4907119849998598</v>
      </c>
      <c r="F16" s="33">
        <f>'raw-scores'!CI27</f>
        <v>0</v>
      </c>
      <c r="G16" s="33">
        <f>'raw-scores'!CI28</f>
        <v>4</v>
      </c>
      <c r="I16" s="25">
        <f>'raw-scores'!HJ29</f>
        <v>1.1000000000000001</v>
      </c>
      <c r="J16" s="25">
        <f>'raw-scores'!HJ30</f>
        <v>1.1972189997378648</v>
      </c>
      <c r="K16" s="33">
        <f>'raw-scores'!HJ27</f>
        <v>0</v>
      </c>
      <c r="L16" s="33">
        <f>'raw-scores'!HJ28</f>
        <v>3</v>
      </c>
    </row>
    <row r="17" spans="1:12" x14ac:dyDescent="0.25">
      <c r="B17" s="36" t="s">
        <v>133</v>
      </c>
      <c r="D17" s="25">
        <f>'raw-scores'!CB29</f>
        <v>2.2424999999999997</v>
      </c>
      <c r="E17" s="25">
        <f>'raw-scores'!CB30</f>
        <v>0.38279853999489472</v>
      </c>
      <c r="F17" s="33">
        <f>'raw-scores'!CB27</f>
        <v>1.65</v>
      </c>
      <c r="G17" s="33">
        <f>'raw-scores'!CB28</f>
        <v>2.85</v>
      </c>
      <c r="I17" s="25">
        <f>'raw-scores'!HC29</f>
        <v>2.0274999999999999</v>
      </c>
      <c r="J17" s="25">
        <f>'raw-scores'!HC30</f>
        <v>0.43067292307117133</v>
      </c>
      <c r="K17" s="33">
        <f>'raw-scores'!HC27</f>
        <v>1.2</v>
      </c>
      <c r="L17" s="33">
        <f>'raw-scores'!HC28</f>
        <v>2.7749999999999999</v>
      </c>
    </row>
    <row r="18" spans="1:12" x14ac:dyDescent="0.25">
      <c r="B18" s="36" t="s">
        <v>135</v>
      </c>
      <c r="D18" s="25">
        <f>'raw-scores'!CX29</f>
        <v>40.9</v>
      </c>
      <c r="E18" s="25">
        <f>'raw-scores'!CX30</f>
        <v>4.7714428286071744</v>
      </c>
      <c r="F18" s="33">
        <f>'raw-scores'!CX27</f>
        <v>31</v>
      </c>
      <c r="G18" s="33">
        <f>'raw-scores'!CX28</f>
        <v>46</v>
      </c>
      <c r="I18" s="25">
        <f>'raw-scores'!HY29</f>
        <v>37.4</v>
      </c>
      <c r="J18" s="25">
        <f>'raw-scores'!HY30</f>
        <v>5.7387571244419551</v>
      </c>
      <c r="K18" s="33">
        <f>'raw-scores'!HY27</f>
        <v>31</v>
      </c>
      <c r="L18" s="33">
        <f>'raw-scores'!HY28</f>
        <v>49</v>
      </c>
    </row>
    <row r="19" spans="1:12" x14ac:dyDescent="0.25">
      <c r="B19" s="36" t="s">
        <v>136</v>
      </c>
      <c r="D19" s="25">
        <f>'raw-scores'!DI29</f>
        <v>15.6</v>
      </c>
      <c r="E19" s="25">
        <f>'raw-scores'!DI30</f>
        <v>3.0258148581093929</v>
      </c>
      <c r="F19" s="33">
        <f>'raw-scores'!DI27</f>
        <v>12</v>
      </c>
      <c r="G19" s="33">
        <v>28</v>
      </c>
      <c r="I19" s="25">
        <f>'raw-scores'!IJ29</f>
        <v>15.9</v>
      </c>
      <c r="J19" s="25">
        <f>'raw-scores'!IJ30</f>
        <v>4.0400770069668512</v>
      </c>
      <c r="K19" s="33">
        <f>'raw-scores'!IJ27</f>
        <v>7</v>
      </c>
      <c r="L19" s="33">
        <f>'raw-scores'!IJ28</f>
        <v>21</v>
      </c>
    </row>
    <row r="20" spans="1:12" x14ac:dyDescent="0.25">
      <c r="B20" s="36" t="s">
        <v>137</v>
      </c>
      <c r="D20" s="25">
        <f>'raw-scores'!DQ29</f>
        <v>2.6833333333333331</v>
      </c>
      <c r="E20" s="25">
        <f>'raw-scores'!DQ30</f>
        <v>0.62583277851728669</v>
      </c>
      <c r="F20" s="33">
        <f>'raw-scores'!DQ27</f>
        <v>2</v>
      </c>
      <c r="G20" s="33">
        <f>'raw-scores'!DQ28</f>
        <v>3.6666666666666665</v>
      </c>
      <c r="I20" s="25">
        <f>'raw-scores'!IR29</f>
        <v>2.7962962962962963</v>
      </c>
      <c r="J20" s="25">
        <f>'raw-scores'!IR30</f>
        <v>1.0061539042374903</v>
      </c>
      <c r="K20" s="33">
        <f>'raw-scores'!IR27</f>
        <v>1.8333333333333333</v>
      </c>
      <c r="L20" s="33">
        <f>'raw-scores'!IR28</f>
        <v>4</v>
      </c>
    </row>
    <row r="21" spans="1:12" x14ac:dyDescent="0.25">
      <c r="B21" s="36" t="s">
        <v>138</v>
      </c>
      <c r="D21" s="25">
        <f>'raw-scores'!EB29</f>
        <v>23.9</v>
      </c>
      <c r="E21" s="25">
        <f>'raw-scores'!EB30</f>
        <v>4.9988887654046525</v>
      </c>
      <c r="F21" s="33">
        <f>'raw-scores'!EB27</f>
        <v>17</v>
      </c>
      <c r="G21" s="33">
        <f>'raw-scores'!EB28</f>
        <v>32</v>
      </c>
      <c r="I21" s="25">
        <v>23.3</v>
      </c>
      <c r="J21" s="25">
        <v>5.4579198316656257</v>
      </c>
      <c r="K21" s="33">
        <v>15</v>
      </c>
      <c r="L21" s="33">
        <v>32</v>
      </c>
    </row>
    <row r="24" spans="1:12" x14ac:dyDescent="0.25">
      <c r="A24" t="s">
        <v>104</v>
      </c>
      <c r="B24" s="29"/>
      <c r="C24" s="29"/>
      <c r="D24" s="29" t="s">
        <v>139</v>
      </c>
      <c r="E24" s="29" t="s">
        <v>104</v>
      </c>
      <c r="F24" s="29"/>
      <c r="G24" s="29"/>
      <c r="H24" s="29"/>
      <c r="I24" s="29" t="s">
        <v>140</v>
      </c>
      <c r="J24" s="29" t="s">
        <v>104</v>
      </c>
      <c r="K24" s="29"/>
      <c r="L24" s="29"/>
    </row>
    <row r="25" spans="1:12" x14ac:dyDescent="0.25">
      <c r="B25" s="37"/>
      <c r="C25" s="24"/>
      <c r="D25" s="32" t="s">
        <v>103</v>
      </c>
      <c r="E25" s="32" t="s">
        <v>93</v>
      </c>
      <c r="F25" s="32" t="s">
        <v>101</v>
      </c>
      <c r="G25" s="32" t="s">
        <v>102</v>
      </c>
      <c r="H25" s="32"/>
      <c r="I25" s="32" t="s">
        <v>103</v>
      </c>
      <c r="J25" s="32" t="s">
        <v>93</v>
      </c>
      <c r="K25" s="32" t="s">
        <v>101</v>
      </c>
      <c r="L25" s="32" t="s">
        <v>102</v>
      </c>
    </row>
    <row r="26" spans="1:12" x14ac:dyDescent="0.25">
      <c r="B26" s="36" t="s">
        <v>107</v>
      </c>
      <c r="D26" s="25">
        <f>'raw-scores'!AL43</f>
        <v>38.9</v>
      </c>
      <c r="E26" s="25">
        <f>'raw-scores'!AL44</f>
        <v>16.702960482767384</v>
      </c>
      <c r="F26" s="33">
        <f>'raw-scores'!AL41</f>
        <v>9</v>
      </c>
      <c r="G26" s="33">
        <f>'raw-scores'!AL42</f>
        <v>61</v>
      </c>
      <c r="I26" s="25">
        <f>'raw-scores'!FM43</f>
        <v>11</v>
      </c>
      <c r="J26" s="25">
        <f>'raw-scores'!FM44</f>
        <v>5.5176484524156164</v>
      </c>
      <c r="K26" s="33">
        <f>'raw-scores'!FM41</f>
        <v>4</v>
      </c>
      <c r="L26" s="33">
        <f>'raw-scores'!FM42</f>
        <v>22</v>
      </c>
    </row>
    <row r="27" spans="1:12" x14ac:dyDescent="0.25">
      <c r="B27" s="36" t="s">
        <v>134</v>
      </c>
      <c r="D27" s="25">
        <f>'raw-scores'!CI43</f>
        <v>3.2</v>
      </c>
      <c r="E27" s="25">
        <f>'raw-scores'!CI44</f>
        <v>1.1352924243950933</v>
      </c>
      <c r="F27" s="33">
        <f>'raw-scores'!CI41</f>
        <v>1</v>
      </c>
      <c r="G27" s="33">
        <f>'raw-scores'!CI42</f>
        <v>4</v>
      </c>
      <c r="I27" s="25">
        <f>'raw-scores'!HJ43</f>
        <v>0.3</v>
      </c>
      <c r="J27" s="25">
        <f>'raw-scores'!HJ44</f>
        <v>0.67494855771055284</v>
      </c>
      <c r="K27" s="33">
        <f>'raw-scores'!HJ41</f>
        <v>0</v>
      </c>
      <c r="L27" s="33">
        <f>'raw-scores'!HJ42</f>
        <v>2</v>
      </c>
    </row>
    <row r="28" spans="1:12" x14ac:dyDescent="0.25">
      <c r="B28" s="36" t="s">
        <v>133</v>
      </c>
      <c r="D28" s="25">
        <f>'raw-scores'!CB43</f>
        <v>2.1775000000000007</v>
      </c>
      <c r="E28" s="25">
        <f>'raw-scores'!CB44</f>
        <v>0.48109395016865947</v>
      </c>
      <c r="F28" s="33">
        <f>'raw-scores'!CB41</f>
        <v>1.55</v>
      </c>
      <c r="G28" s="33">
        <f>'raw-scores'!CB42</f>
        <v>3.05</v>
      </c>
      <c r="I28" s="25">
        <f>'raw-scores'!HC43</f>
        <v>1.28</v>
      </c>
      <c r="J28" s="25">
        <f>'raw-scores'!HC44</f>
        <v>0.21272047386182494</v>
      </c>
      <c r="K28" s="33">
        <f>'raw-scores'!HC41</f>
        <v>1</v>
      </c>
      <c r="L28" s="33">
        <f>'raw-scores'!HC42</f>
        <v>1.8</v>
      </c>
    </row>
    <row r="29" spans="1:12" x14ac:dyDescent="0.25">
      <c r="B29" s="36" t="s">
        <v>135</v>
      </c>
      <c r="D29" s="25">
        <f>'raw-scores'!CX43</f>
        <v>46.7</v>
      </c>
      <c r="E29" s="25">
        <f>'raw-scores'!CX44</f>
        <v>7.1344235926947759</v>
      </c>
      <c r="F29" s="33">
        <f>'raw-scores'!CX41</f>
        <v>33</v>
      </c>
      <c r="G29" s="33">
        <f>'raw-scores'!CX42</f>
        <v>56</v>
      </c>
      <c r="I29" s="25">
        <f>'raw-scores'!HY43</f>
        <v>42.6</v>
      </c>
      <c r="J29" s="25">
        <f>'raw-scores'!HY44</f>
        <v>6.9952364744398379</v>
      </c>
      <c r="K29" s="33">
        <f>'raw-scores'!HY41</f>
        <v>25</v>
      </c>
      <c r="L29" s="33">
        <f>'raw-scores'!HY42</f>
        <v>50</v>
      </c>
    </row>
    <row r="30" spans="1:12" x14ac:dyDescent="0.25">
      <c r="B30" s="36" t="s">
        <v>136</v>
      </c>
      <c r="D30" s="25">
        <f>'raw-scores'!DI43</f>
        <v>16.7</v>
      </c>
      <c r="E30" s="25">
        <f>'raw-scores'!DI44</f>
        <v>4.4733780424988794</v>
      </c>
      <c r="F30" s="33">
        <f>'raw-scores'!DI41</f>
        <v>7</v>
      </c>
      <c r="G30" s="33">
        <f>'raw-scores'!DI42</f>
        <v>22</v>
      </c>
      <c r="I30" s="25">
        <f>'raw-scores'!IJ43</f>
        <v>18.3</v>
      </c>
      <c r="J30" s="25">
        <f>'raw-scores'!IJ44</f>
        <v>3.1287200080686159</v>
      </c>
      <c r="K30" s="33">
        <f>'raw-scores'!IJ41</f>
        <v>10</v>
      </c>
      <c r="L30" s="33">
        <f>'raw-scores'!IJ42</f>
        <v>20</v>
      </c>
    </row>
    <row r="31" spans="1:12" x14ac:dyDescent="0.25">
      <c r="B31" s="36" t="s">
        <v>138</v>
      </c>
      <c r="D31" s="25">
        <f>'raw-scores'!DQ43</f>
        <v>2.85</v>
      </c>
      <c r="E31" s="25">
        <f>'raw-scores'!DQ44</f>
        <v>1.0728121578011351</v>
      </c>
      <c r="F31" s="33">
        <f>'raw-scores'!DQ41</f>
        <v>1.3333333333333333</v>
      </c>
      <c r="G31" s="33">
        <f>'raw-scores'!DQ42</f>
        <v>4</v>
      </c>
      <c r="I31" s="25">
        <f>'raw-scores'!IR43</f>
        <v>3.4</v>
      </c>
      <c r="J31" s="25">
        <f>'raw-scores'!IR44</f>
        <v>0.96609178307929622</v>
      </c>
      <c r="K31" s="34">
        <f>'raw-scores'!IR41</f>
        <v>2</v>
      </c>
      <c r="L31" s="33">
        <f>'raw-scores'!IR42</f>
        <v>4</v>
      </c>
    </row>
    <row r="32" spans="1:12" x14ac:dyDescent="0.25">
      <c r="B32" s="36" t="s">
        <v>137</v>
      </c>
      <c r="D32" s="25">
        <f>'raw-scores'!EB43</f>
        <v>22.3</v>
      </c>
      <c r="E32" s="25">
        <f>'raw-scores'!EB44</f>
        <v>3.1989581637360271</v>
      </c>
      <c r="F32" s="33">
        <f>'raw-scores'!EB41</f>
        <v>17</v>
      </c>
      <c r="G32" s="33">
        <f>'raw-scores'!EB42</f>
        <v>28</v>
      </c>
      <c r="I32" s="25">
        <v>24.3</v>
      </c>
      <c r="J32" s="25">
        <v>5.2291915670057918</v>
      </c>
      <c r="K32" s="33">
        <v>12</v>
      </c>
      <c r="L32" s="33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0450-E36C-4CEB-A08D-78B150FC6F8E}">
  <dimension ref="A1:M48"/>
  <sheetViews>
    <sheetView topLeftCell="A10" workbookViewId="0">
      <selection activeCell="M29" sqref="M29:M38"/>
    </sheetView>
  </sheetViews>
  <sheetFormatPr defaultRowHeight="15" x14ac:dyDescent="0.25"/>
  <cols>
    <col min="1" max="1" width="12.85546875" customWidth="1"/>
    <col min="7" max="7" width="13.140625" customWidth="1"/>
  </cols>
  <sheetData>
    <row r="1" spans="1:13" x14ac:dyDescent="0.25">
      <c r="A1" t="s">
        <v>108</v>
      </c>
      <c r="G1" t="s">
        <v>109</v>
      </c>
      <c r="M1" t="s">
        <v>110</v>
      </c>
    </row>
    <row r="2" spans="1:13" x14ac:dyDescent="0.25">
      <c r="B2" s="27" t="s">
        <v>106</v>
      </c>
      <c r="C2" s="27"/>
      <c r="D2" s="27">
        <v>52</v>
      </c>
      <c r="H2" s="27" t="s">
        <v>106</v>
      </c>
      <c r="I2" s="27"/>
      <c r="J2" s="27">
        <v>46</v>
      </c>
      <c r="M2">
        <f>D2-J2</f>
        <v>6</v>
      </c>
    </row>
    <row r="3" spans="1:13" x14ac:dyDescent="0.25">
      <c r="B3" s="27"/>
      <c r="C3" s="27"/>
      <c r="D3" s="27">
        <v>6</v>
      </c>
      <c r="H3" s="27"/>
      <c r="I3" s="27"/>
      <c r="J3" s="27">
        <v>5</v>
      </c>
      <c r="M3">
        <f t="shared" ref="M3:M10" si="0">D3-J3</f>
        <v>1</v>
      </c>
    </row>
    <row r="4" spans="1:13" x14ac:dyDescent="0.25">
      <c r="B4" s="27"/>
      <c r="C4" s="27"/>
      <c r="D4" s="27">
        <v>71</v>
      </c>
      <c r="H4" s="27"/>
      <c r="I4" s="27"/>
      <c r="J4" s="27">
        <v>45</v>
      </c>
      <c r="M4">
        <f t="shared" si="0"/>
        <v>26</v>
      </c>
    </row>
    <row r="5" spans="1:13" x14ac:dyDescent="0.25">
      <c r="B5" s="27"/>
      <c r="C5" s="27"/>
      <c r="D5" s="27">
        <v>20</v>
      </c>
      <c r="H5" s="27"/>
      <c r="I5" s="27"/>
      <c r="J5" s="27">
        <v>33</v>
      </c>
      <c r="M5">
        <f t="shared" si="0"/>
        <v>-13</v>
      </c>
    </row>
    <row r="6" spans="1:13" x14ac:dyDescent="0.25">
      <c r="B6" s="27"/>
      <c r="C6" s="27"/>
      <c r="D6" s="27">
        <v>5</v>
      </c>
      <c r="H6" s="27"/>
      <c r="I6" s="27"/>
      <c r="J6" s="27">
        <v>3</v>
      </c>
      <c r="M6">
        <f t="shared" si="0"/>
        <v>2</v>
      </c>
    </row>
    <row r="7" spans="1:13" x14ac:dyDescent="0.25">
      <c r="B7" s="27"/>
      <c r="C7" s="27"/>
      <c r="D7" s="27">
        <v>33</v>
      </c>
      <c r="H7" s="27"/>
      <c r="I7" s="27"/>
      <c r="J7" s="27">
        <v>39</v>
      </c>
      <c r="M7">
        <f t="shared" si="0"/>
        <v>-6</v>
      </c>
    </row>
    <row r="8" spans="1:13" x14ac:dyDescent="0.25">
      <c r="B8" s="27"/>
      <c r="C8" s="27"/>
      <c r="D8" s="27">
        <v>61</v>
      </c>
      <c r="H8" s="27"/>
      <c r="I8" s="27"/>
      <c r="J8" s="27">
        <v>53</v>
      </c>
      <c r="M8">
        <f t="shared" si="0"/>
        <v>8</v>
      </c>
    </row>
    <row r="9" spans="1:13" x14ac:dyDescent="0.25">
      <c r="B9" s="27"/>
      <c r="C9" s="27"/>
      <c r="D9" s="27">
        <v>43</v>
      </c>
      <c r="H9" s="27"/>
      <c r="I9" s="27"/>
      <c r="J9" s="27">
        <v>32</v>
      </c>
      <c r="M9">
        <f t="shared" si="0"/>
        <v>11</v>
      </c>
    </row>
    <row r="10" spans="1:13" x14ac:dyDescent="0.25">
      <c r="B10" s="27"/>
      <c r="C10" s="27"/>
      <c r="D10" s="27">
        <v>19</v>
      </c>
      <c r="H10" s="27"/>
      <c r="I10" s="27"/>
      <c r="J10" s="27">
        <v>2</v>
      </c>
      <c r="M10">
        <f t="shared" si="0"/>
        <v>17</v>
      </c>
    </row>
    <row r="11" spans="1:13" x14ac:dyDescent="0.25">
      <c r="C11" t="s">
        <v>101</v>
      </c>
      <c r="D11">
        <v>5</v>
      </c>
      <c r="I11" t="s">
        <v>101</v>
      </c>
      <c r="J11">
        <v>2</v>
      </c>
    </row>
    <row r="12" spans="1:13" x14ac:dyDescent="0.25">
      <c r="C12" t="s">
        <v>102</v>
      </c>
      <c r="D12">
        <v>71</v>
      </c>
      <c r="I12" t="s">
        <v>102</v>
      </c>
      <c r="J12">
        <v>53</v>
      </c>
    </row>
    <row r="13" spans="1:13" x14ac:dyDescent="0.25">
      <c r="C13" t="s">
        <v>103</v>
      </c>
      <c r="D13">
        <v>34.444444444444443</v>
      </c>
      <c r="I13" t="s">
        <v>103</v>
      </c>
      <c r="J13">
        <v>28.666666666666668</v>
      </c>
    </row>
    <row r="14" spans="1:13" x14ac:dyDescent="0.25">
      <c r="C14" t="s">
        <v>93</v>
      </c>
      <c r="D14">
        <v>23.843820536520102</v>
      </c>
      <c r="I14" t="s">
        <v>93</v>
      </c>
      <c r="J14">
        <v>20.081085628023203</v>
      </c>
    </row>
    <row r="15" spans="1:13" x14ac:dyDescent="0.25">
      <c r="B15" s="26" t="s">
        <v>105</v>
      </c>
      <c r="C15" s="26"/>
      <c r="D15" s="26">
        <v>43</v>
      </c>
      <c r="H15" s="26" t="s">
        <v>105</v>
      </c>
      <c r="I15" s="26"/>
      <c r="J15" s="26">
        <v>33</v>
      </c>
      <c r="M15">
        <f t="shared" ref="M15:M24" si="1">D15-J15</f>
        <v>10</v>
      </c>
    </row>
    <row r="16" spans="1:13" x14ac:dyDescent="0.25">
      <c r="B16" s="26"/>
      <c r="C16" s="26"/>
      <c r="D16" s="26">
        <v>39</v>
      </c>
      <c r="H16" s="26"/>
      <c r="I16" s="26"/>
      <c r="J16" s="26">
        <v>30</v>
      </c>
      <c r="M16">
        <f t="shared" si="1"/>
        <v>9</v>
      </c>
    </row>
    <row r="17" spans="2:13" x14ac:dyDescent="0.25">
      <c r="B17" s="26"/>
      <c r="C17" s="26"/>
      <c r="D17" s="26">
        <v>39</v>
      </c>
      <c r="H17" s="26"/>
      <c r="I17" s="26"/>
      <c r="J17" s="26">
        <v>40</v>
      </c>
      <c r="M17">
        <f t="shared" si="1"/>
        <v>-1</v>
      </c>
    </row>
    <row r="18" spans="2:13" x14ac:dyDescent="0.25">
      <c r="B18" s="26"/>
      <c r="C18" s="26"/>
      <c r="D18" s="26">
        <v>25</v>
      </c>
      <c r="H18" s="26"/>
      <c r="I18" s="26"/>
      <c r="J18" s="26">
        <v>23</v>
      </c>
      <c r="M18">
        <f t="shared" si="1"/>
        <v>2</v>
      </c>
    </row>
    <row r="19" spans="2:13" x14ac:dyDescent="0.25">
      <c r="B19" s="26"/>
      <c r="C19" s="26"/>
      <c r="D19" s="26">
        <v>40</v>
      </c>
      <c r="H19" s="26"/>
      <c r="I19" s="26"/>
      <c r="J19" s="26">
        <v>54</v>
      </c>
      <c r="M19">
        <f t="shared" si="1"/>
        <v>-14</v>
      </c>
    </row>
    <row r="20" spans="2:13" x14ac:dyDescent="0.25">
      <c r="B20" s="26"/>
      <c r="C20" s="26"/>
      <c r="D20" s="26">
        <v>43</v>
      </c>
      <c r="H20" s="26"/>
      <c r="I20" s="26"/>
      <c r="J20" s="26">
        <v>39</v>
      </c>
      <c r="M20">
        <f t="shared" si="1"/>
        <v>4</v>
      </c>
    </row>
    <row r="21" spans="2:13" x14ac:dyDescent="0.25">
      <c r="B21" s="26"/>
      <c r="C21" s="26"/>
      <c r="D21" s="26">
        <v>55</v>
      </c>
      <c r="H21" s="26"/>
      <c r="I21" s="26"/>
      <c r="J21" s="26">
        <v>52</v>
      </c>
      <c r="M21">
        <f t="shared" si="1"/>
        <v>3</v>
      </c>
    </row>
    <row r="22" spans="2:13" x14ac:dyDescent="0.25">
      <c r="B22" s="26"/>
      <c r="C22" s="26"/>
      <c r="D22" s="26">
        <v>55</v>
      </c>
      <c r="H22" s="26"/>
      <c r="I22" s="26"/>
      <c r="J22" s="26">
        <v>48</v>
      </c>
      <c r="M22">
        <f t="shared" si="1"/>
        <v>7</v>
      </c>
    </row>
    <row r="23" spans="2:13" x14ac:dyDescent="0.25">
      <c r="B23" s="26"/>
      <c r="C23" s="26"/>
      <c r="D23" s="26">
        <v>36</v>
      </c>
      <c r="H23" s="26"/>
      <c r="I23" s="26"/>
      <c r="J23" s="26">
        <v>27</v>
      </c>
      <c r="M23">
        <f t="shared" si="1"/>
        <v>9</v>
      </c>
    </row>
    <row r="24" spans="2:13" x14ac:dyDescent="0.25">
      <c r="B24" s="26"/>
      <c r="C24" s="26"/>
      <c r="D24" s="26">
        <v>17</v>
      </c>
      <c r="H24" s="26"/>
      <c r="I24" s="26"/>
      <c r="J24" s="26">
        <v>7</v>
      </c>
      <c r="M24">
        <f t="shared" si="1"/>
        <v>10</v>
      </c>
    </row>
    <row r="25" spans="2:13" x14ac:dyDescent="0.25">
      <c r="C25" t="s">
        <v>101</v>
      </c>
      <c r="D25">
        <v>17</v>
      </c>
      <c r="I25" t="s">
        <v>101</v>
      </c>
      <c r="J25">
        <v>7</v>
      </c>
    </row>
    <row r="26" spans="2:13" x14ac:dyDescent="0.25">
      <c r="C26" t="s">
        <v>102</v>
      </c>
      <c r="D26">
        <v>55</v>
      </c>
      <c r="I26" t="s">
        <v>102</v>
      </c>
      <c r="J26">
        <v>54</v>
      </c>
    </row>
    <row r="27" spans="2:13" x14ac:dyDescent="0.25">
      <c r="C27" t="s">
        <v>103</v>
      </c>
      <c r="D27">
        <v>39.200000000000003</v>
      </c>
      <c r="I27" t="s">
        <v>103</v>
      </c>
      <c r="J27">
        <v>35.299999999999997</v>
      </c>
    </row>
    <row r="28" spans="2:13" x14ac:dyDescent="0.25">
      <c r="C28" t="s">
        <v>93</v>
      </c>
      <c r="D28">
        <v>11.707547423208105</v>
      </c>
      <c r="I28" t="s">
        <v>93</v>
      </c>
      <c r="J28">
        <v>14.453373308677806</v>
      </c>
    </row>
    <row r="29" spans="2:13" x14ac:dyDescent="0.25">
      <c r="B29" s="25" t="s">
        <v>104</v>
      </c>
      <c r="C29" s="25"/>
      <c r="D29" s="25">
        <v>61</v>
      </c>
      <c r="H29" s="25" t="s">
        <v>104</v>
      </c>
      <c r="I29" s="25"/>
      <c r="J29" s="25">
        <v>6</v>
      </c>
      <c r="M29" s="18">
        <f t="shared" ref="M29:M38" si="2">D29-J29</f>
        <v>55</v>
      </c>
    </row>
    <row r="30" spans="2:13" x14ac:dyDescent="0.25">
      <c r="B30" s="25"/>
      <c r="C30" s="25"/>
      <c r="D30" s="25">
        <v>29</v>
      </c>
      <c r="H30" s="25"/>
      <c r="I30" s="25"/>
      <c r="J30" s="25">
        <v>9</v>
      </c>
      <c r="M30" s="18">
        <f t="shared" si="2"/>
        <v>20</v>
      </c>
    </row>
    <row r="31" spans="2:13" x14ac:dyDescent="0.25">
      <c r="B31" s="25"/>
      <c r="C31" s="25"/>
      <c r="D31" s="25">
        <v>61</v>
      </c>
      <c r="H31" s="25"/>
      <c r="I31" s="25"/>
      <c r="J31" s="25">
        <v>22</v>
      </c>
      <c r="M31" s="18">
        <f t="shared" si="2"/>
        <v>39</v>
      </c>
    </row>
    <row r="32" spans="2:13" x14ac:dyDescent="0.25">
      <c r="B32" s="25"/>
      <c r="C32" s="25"/>
      <c r="D32" s="25">
        <v>9</v>
      </c>
      <c r="H32" s="25"/>
      <c r="I32" s="25"/>
      <c r="J32" s="25">
        <v>4</v>
      </c>
      <c r="M32" s="18">
        <f t="shared" si="2"/>
        <v>5</v>
      </c>
    </row>
    <row r="33" spans="2:13" x14ac:dyDescent="0.25">
      <c r="B33" s="25"/>
      <c r="C33" s="25"/>
      <c r="D33" s="25">
        <v>51</v>
      </c>
      <c r="H33" s="25"/>
      <c r="I33" s="25"/>
      <c r="J33" s="25">
        <v>17</v>
      </c>
      <c r="M33" s="18">
        <f t="shared" si="2"/>
        <v>34</v>
      </c>
    </row>
    <row r="34" spans="2:13" x14ac:dyDescent="0.25">
      <c r="B34" s="25"/>
      <c r="C34" s="25"/>
      <c r="D34" s="25">
        <v>41</v>
      </c>
      <c r="H34" s="25"/>
      <c r="I34" s="25"/>
      <c r="J34" s="25">
        <v>12</v>
      </c>
      <c r="M34" s="18">
        <f t="shared" si="2"/>
        <v>29</v>
      </c>
    </row>
    <row r="35" spans="2:13" x14ac:dyDescent="0.25">
      <c r="B35" s="25"/>
      <c r="C35" s="25"/>
      <c r="D35" s="25">
        <v>28</v>
      </c>
      <c r="H35" s="25"/>
      <c r="I35" s="25"/>
      <c r="J35" s="25">
        <v>9</v>
      </c>
      <c r="M35" s="18">
        <f t="shared" si="2"/>
        <v>19</v>
      </c>
    </row>
    <row r="36" spans="2:13" x14ac:dyDescent="0.25">
      <c r="B36" s="25"/>
      <c r="C36" s="25"/>
      <c r="D36" s="25">
        <v>46</v>
      </c>
      <c r="H36" s="25"/>
      <c r="I36" s="25"/>
      <c r="J36" s="25">
        <v>15</v>
      </c>
      <c r="M36" s="18">
        <f t="shared" si="2"/>
        <v>31</v>
      </c>
    </row>
    <row r="37" spans="2:13" x14ac:dyDescent="0.25">
      <c r="B37" s="25"/>
      <c r="C37" s="25"/>
      <c r="D37" s="25">
        <v>39</v>
      </c>
      <c r="H37" s="25"/>
      <c r="I37" s="25"/>
      <c r="J37" s="25">
        <v>8</v>
      </c>
      <c r="M37" s="18">
        <f t="shared" si="2"/>
        <v>31</v>
      </c>
    </row>
    <row r="38" spans="2:13" x14ac:dyDescent="0.25">
      <c r="B38" s="25"/>
      <c r="C38" s="25"/>
      <c r="D38" s="25">
        <v>24</v>
      </c>
      <c r="H38" s="25"/>
      <c r="I38" s="25"/>
      <c r="J38" s="25">
        <v>8</v>
      </c>
      <c r="M38" s="18">
        <f t="shared" si="2"/>
        <v>16</v>
      </c>
    </row>
    <row r="39" spans="2:13" x14ac:dyDescent="0.25">
      <c r="C39" t="s">
        <v>101</v>
      </c>
      <c r="D39">
        <v>9</v>
      </c>
      <c r="I39" t="s">
        <v>101</v>
      </c>
      <c r="J39">
        <v>4</v>
      </c>
    </row>
    <row r="40" spans="2:13" x14ac:dyDescent="0.25">
      <c r="C40" t="s">
        <v>102</v>
      </c>
      <c r="D40">
        <v>61</v>
      </c>
      <c r="I40" t="s">
        <v>102</v>
      </c>
      <c r="J40">
        <v>22</v>
      </c>
    </row>
    <row r="41" spans="2:13" x14ac:dyDescent="0.25">
      <c r="C41" t="s">
        <v>103</v>
      </c>
      <c r="D41">
        <v>38.9</v>
      </c>
      <c r="I41" t="s">
        <v>103</v>
      </c>
      <c r="J41">
        <v>11</v>
      </c>
    </row>
    <row r="42" spans="2:13" x14ac:dyDescent="0.25">
      <c r="C42" t="s">
        <v>93</v>
      </c>
      <c r="D42">
        <v>16.702960482767384</v>
      </c>
      <c r="I42" t="s">
        <v>93</v>
      </c>
      <c r="J42">
        <v>5.5176484524156164</v>
      </c>
    </row>
    <row r="44" spans="2:13" x14ac:dyDescent="0.25">
      <c r="C44" t="s">
        <v>95</v>
      </c>
      <c r="I44" t="s">
        <v>95</v>
      </c>
    </row>
    <row r="45" spans="2:13" x14ac:dyDescent="0.25">
      <c r="C45" t="s">
        <v>103</v>
      </c>
      <c r="D45">
        <v>37.620689655172413</v>
      </c>
      <c r="I45" t="s">
        <v>103</v>
      </c>
      <c r="J45">
        <v>24.862068965517242</v>
      </c>
    </row>
    <row r="46" spans="2:13" x14ac:dyDescent="0.25">
      <c r="C46" t="s">
        <v>93</v>
      </c>
      <c r="D46">
        <v>17.346085999653905</v>
      </c>
      <c r="I46" t="s">
        <v>93</v>
      </c>
      <c r="J46">
        <v>17.445269800826967</v>
      </c>
    </row>
    <row r="47" spans="2:13" x14ac:dyDescent="0.25">
      <c r="C47" t="s">
        <v>101</v>
      </c>
      <c r="D47">
        <v>5</v>
      </c>
      <c r="I47" t="s">
        <v>101</v>
      </c>
      <c r="J47">
        <v>2</v>
      </c>
    </row>
    <row r="48" spans="2:13" x14ac:dyDescent="0.25">
      <c r="C48" t="s">
        <v>102</v>
      </c>
      <c r="D48">
        <v>71</v>
      </c>
      <c r="I48" t="s">
        <v>102</v>
      </c>
      <c r="J48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DE70-69DB-4DFA-9488-F40EF59F1820}">
  <dimension ref="A1:M48"/>
  <sheetViews>
    <sheetView topLeftCell="A13" workbookViewId="0">
      <selection activeCell="M3" sqref="M3"/>
    </sheetView>
  </sheetViews>
  <sheetFormatPr defaultRowHeight="15" x14ac:dyDescent="0.25"/>
  <cols>
    <col min="1" max="1" width="18.7109375" customWidth="1"/>
    <col min="7" max="7" width="18.5703125" customWidth="1"/>
    <col min="13" max="13" width="18.140625" customWidth="1"/>
  </cols>
  <sheetData>
    <row r="1" spans="1:13" x14ac:dyDescent="0.25">
      <c r="A1" t="s">
        <v>111</v>
      </c>
      <c r="G1" t="s">
        <v>114</v>
      </c>
      <c r="M1" t="s">
        <v>116</v>
      </c>
    </row>
    <row r="2" spans="1:13" x14ac:dyDescent="0.25">
      <c r="B2" s="27" t="s">
        <v>106</v>
      </c>
      <c r="C2" s="27"/>
      <c r="D2" s="27">
        <v>2</v>
      </c>
      <c r="H2" s="27" t="s">
        <v>106</v>
      </c>
      <c r="I2" s="27"/>
      <c r="J2" s="27">
        <v>4</v>
      </c>
      <c r="M2">
        <v>4</v>
      </c>
    </row>
    <row r="3" spans="1:13" x14ac:dyDescent="0.25">
      <c r="B3" s="27"/>
      <c r="C3" s="27"/>
      <c r="D3" s="27">
        <v>1</v>
      </c>
      <c r="H3" s="27"/>
      <c r="I3" s="27"/>
      <c r="J3" s="27">
        <v>0</v>
      </c>
      <c r="M3">
        <v>0</v>
      </c>
    </row>
    <row r="4" spans="1:13" x14ac:dyDescent="0.25">
      <c r="B4" s="27"/>
      <c r="C4" s="27"/>
      <c r="D4" s="27">
        <v>5</v>
      </c>
      <c r="H4" s="27"/>
      <c r="I4" s="27"/>
      <c r="J4" s="27">
        <v>3</v>
      </c>
      <c r="M4">
        <v>3</v>
      </c>
    </row>
    <row r="5" spans="1:13" x14ac:dyDescent="0.25">
      <c r="B5" s="27"/>
      <c r="C5" s="27"/>
      <c r="D5" s="27">
        <v>5</v>
      </c>
      <c r="H5" s="27"/>
      <c r="I5" s="27"/>
      <c r="J5" s="27">
        <v>4</v>
      </c>
      <c r="M5">
        <v>4</v>
      </c>
    </row>
    <row r="6" spans="1:13" x14ac:dyDescent="0.25">
      <c r="B6" s="27"/>
      <c r="C6" s="27"/>
      <c r="D6" s="27">
        <v>1</v>
      </c>
      <c r="H6" s="27"/>
      <c r="I6" s="27"/>
      <c r="J6" s="27">
        <v>0</v>
      </c>
      <c r="M6">
        <v>0</v>
      </c>
    </row>
    <row r="7" spans="1:13" x14ac:dyDescent="0.25">
      <c r="B7" s="27"/>
      <c r="C7" s="27"/>
      <c r="D7" s="27">
        <v>4</v>
      </c>
      <c r="H7" s="27"/>
      <c r="I7" s="27"/>
      <c r="J7" s="27">
        <v>4</v>
      </c>
      <c r="M7">
        <v>4</v>
      </c>
    </row>
    <row r="8" spans="1:13" x14ac:dyDescent="0.25">
      <c r="B8" s="27"/>
      <c r="C8" s="27"/>
      <c r="D8" s="27">
        <v>4</v>
      </c>
      <c r="H8" s="27"/>
      <c r="I8" s="27"/>
      <c r="J8" s="27">
        <v>5</v>
      </c>
      <c r="M8">
        <v>5</v>
      </c>
    </row>
    <row r="9" spans="1:13" x14ac:dyDescent="0.25">
      <c r="B9" s="27"/>
      <c r="C9" s="27"/>
      <c r="D9" s="27">
        <v>4</v>
      </c>
      <c r="H9" s="27"/>
      <c r="I9" s="27"/>
      <c r="J9" s="27">
        <v>2</v>
      </c>
      <c r="M9">
        <v>2</v>
      </c>
    </row>
    <row r="10" spans="1:13" x14ac:dyDescent="0.25">
      <c r="B10" s="27"/>
      <c r="C10" s="27"/>
      <c r="D10" s="27">
        <v>1</v>
      </c>
      <c r="H10" s="27"/>
      <c r="I10" s="27"/>
      <c r="J10" s="27">
        <v>0</v>
      </c>
      <c r="M10">
        <v>0</v>
      </c>
    </row>
    <row r="11" spans="1:13" x14ac:dyDescent="0.25">
      <c r="C11" t="s">
        <v>101</v>
      </c>
      <c r="D11">
        <v>1</v>
      </c>
      <c r="I11" t="s">
        <v>101</v>
      </c>
      <c r="J11">
        <v>0</v>
      </c>
    </row>
    <row r="12" spans="1:13" x14ac:dyDescent="0.25">
      <c r="C12" t="s">
        <v>102</v>
      </c>
      <c r="D12">
        <v>5</v>
      </c>
      <c r="I12" t="s">
        <v>102</v>
      </c>
      <c r="J12">
        <v>5</v>
      </c>
    </row>
    <row r="13" spans="1:13" x14ac:dyDescent="0.25">
      <c r="C13" t="s">
        <v>103</v>
      </c>
      <c r="D13">
        <v>3</v>
      </c>
      <c r="I13" t="s">
        <v>103</v>
      </c>
      <c r="J13">
        <v>2.4444444444444446</v>
      </c>
    </row>
    <row r="14" spans="1:13" x14ac:dyDescent="0.25">
      <c r="C14" t="s">
        <v>93</v>
      </c>
      <c r="D14">
        <v>1.7320508075688772</v>
      </c>
      <c r="I14" t="s">
        <v>93</v>
      </c>
      <c r="J14">
        <v>2.0069324297987157</v>
      </c>
    </row>
    <row r="15" spans="1:13" x14ac:dyDescent="0.25">
      <c r="B15" s="26" t="s">
        <v>105</v>
      </c>
      <c r="C15" s="26"/>
      <c r="D15" s="26">
        <v>3</v>
      </c>
      <c r="H15" s="26" t="s">
        <v>105</v>
      </c>
      <c r="I15" s="26"/>
      <c r="J15" s="26">
        <v>1</v>
      </c>
      <c r="M15">
        <v>1</v>
      </c>
    </row>
    <row r="16" spans="1:13" x14ac:dyDescent="0.25">
      <c r="B16" s="26"/>
      <c r="C16" s="26"/>
      <c r="D16" s="26">
        <v>0</v>
      </c>
      <c r="H16" s="26"/>
      <c r="I16" s="26"/>
      <c r="J16" s="26">
        <v>1</v>
      </c>
      <c r="M16">
        <v>1</v>
      </c>
    </row>
    <row r="17" spans="2:13" x14ac:dyDescent="0.25">
      <c r="B17" s="26"/>
      <c r="C17" s="26"/>
      <c r="D17" s="26">
        <v>1</v>
      </c>
      <c r="H17" s="26"/>
      <c r="I17" s="26"/>
      <c r="J17" s="26">
        <v>0</v>
      </c>
      <c r="M17">
        <v>0</v>
      </c>
    </row>
    <row r="18" spans="2:13" x14ac:dyDescent="0.25">
      <c r="B18" s="26"/>
      <c r="C18" s="26"/>
      <c r="D18" s="26">
        <v>0</v>
      </c>
      <c r="H18" s="26"/>
      <c r="I18" s="26"/>
      <c r="J18" s="26">
        <v>0</v>
      </c>
      <c r="M18">
        <v>0</v>
      </c>
    </row>
    <row r="19" spans="2:13" x14ac:dyDescent="0.25">
      <c r="B19" s="26"/>
      <c r="C19" s="26"/>
      <c r="D19" s="26">
        <v>2</v>
      </c>
      <c r="H19" s="26"/>
      <c r="I19" s="26"/>
      <c r="J19" s="26">
        <v>3</v>
      </c>
      <c r="M19">
        <v>3</v>
      </c>
    </row>
    <row r="20" spans="2:13" x14ac:dyDescent="0.25">
      <c r="B20" s="26"/>
      <c r="C20" s="26"/>
      <c r="D20" s="26">
        <v>4</v>
      </c>
      <c r="H20" s="26"/>
      <c r="I20" s="26"/>
      <c r="J20" s="26">
        <v>3</v>
      </c>
      <c r="M20">
        <v>3</v>
      </c>
    </row>
    <row r="21" spans="2:13" x14ac:dyDescent="0.25">
      <c r="B21" s="26"/>
      <c r="C21" s="26"/>
      <c r="D21" s="26">
        <v>3</v>
      </c>
      <c r="H21" s="26"/>
      <c r="I21" s="26"/>
      <c r="J21" s="26">
        <v>1</v>
      </c>
      <c r="M21">
        <v>1</v>
      </c>
    </row>
    <row r="22" spans="2:13" x14ac:dyDescent="0.25">
      <c r="B22" s="26"/>
      <c r="C22" s="26"/>
      <c r="D22" s="26">
        <v>2</v>
      </c>
      <c r="H22" s="26"/>
      <c r="I22" s="26"/>
      <c r="J22" s="26">
        <v>0</v>
      </c>
      <c r="M22">
        <v>0</v>
      </c>
    </row>
    <row r="23" spans="2:13" x14ac:dyDescent="0.25">
      <c r="B23" s="26"/>
      <c r="C23" s="26"/>
      <c r="D23" s="26">
        <v>4</v>
      </c>
      <c r="H23" s="26"/>
      <c r="I23" s="26"/>
      <c r="J23" s="26">
        <v>2</v>
      </c>
      <c r="M23">
        <v>2</v>
      </c>
    </row>
    <row r="24" spans="2:13" x14ac:dyDescent="0.25">
      <c r="B24" s="26"/>
      <c r="C24" s="26"/>
      <c r="D24" s="26">
        <v>1</v>
      </c>
      <c r="H24" s="26"/>
      <c r="I24" s="26"/>
      <c r="J24" s="26">
        <v>0</v>
      </c>
      <c r="M24">
        <v>0</v>
      </c>
    </row>
    <row r="25" spans="2:13" x14ac:dyDescent="0.25">
      <c r="C25" t="s">
        <v>101</v>
      </c>
      <c r="D25">
        <v>0</v>
      </c>
      <c r="I25" t="s">
        <v>101</v>
      </c>
      <c r="J25">
        <v>0</v>
      </c>
    </row>
    <row r="26" spans="2:13" x14ac:dyDescent="0.25">
      <c r="C26" t="s">
        <v>102</v>
      </c>
      <c r="D26">
        <v>4</v>
      </c>
      <c r="I26" t="s">
        <v>102</v>
      </c>
      <c r="J26">
        <v>3</v>
      </c>
    </row>
    <row r="27" spans="2:13" x14ac:dyDescent="0.25">
      <c r="C27" t="s">
        <v>103</v>
      </c>
      <c r="D27">
        <v>2</v>
      </c>
      <c r="I27" t="s">
        <v>103</v>
      </c>
      <c r="J27">
        <v>1.1000000000000001</v>
      </c>
    </row>
    <row r="28" spans="2:13" x14ac:dyDescent="0.25">
      <c r="C28" t="s">
        <v>93</v>
      </c>
      <c r="D28">
        <v>1.4907119849998598</v>
      </c>
      <c r="I28" t="s">
        <v>93</v>
      </c>
      <c r="J28">
        <v>1.1972189997378648</v>
      </c>
    </row>
    <row r="29" spans="2:13" x14ac:dyDescent="0.25">
      <c r="B29" s="25" t="s">
        <v>104</v>
      </c>
      <c r="C29" s="25"/>
      <c r="D29" s="25">
        <v>4</v>
      </c>
      <c r="H29" s="25" t="s">
        <v>104</v>
      </c>
      <c r="I29" s="25"/>
      <c r="J29" s="25">
        <v>0</v>
      </c>
      <c r="M29" s="18">
        <v>0</v>
      </c>
    </row>
    <row r="30" spans="2:13" x14ac:dyDescent="0.25">
      <c r="B30" s="25"/>
      <c r="C30" s="25"/>
      <c r="D30" s="25">
        <v>3</v>
      </c>
      <c r="H30" s="25"/>
      <c r="I30" s="25"/>
      <c r="J30" s="25">
        <v>0</v>
      </c>
      <c r="M30" s="18">
        <v>0</v>
      </c>
    </row>
    <row r="31" spans="2:13" x14ac:dyDescent="0.25">
      <c r="B31" s="25"/>
      <c r="C31" s="25"/>
      <c r="D31" s="25">
        <v>4</v>
      </c>
      <c r="H31" s="25"/>
      <c r="I31" s="25"/>
      <c r="J31" s="25">
        <v>2</v>
      </c>
      <c r="M31" s="18">
        <v>2</v>
      </c>
    </row>
    <row r="32" spans="2:13" x14ac:dyDescent="0.25">
      <c r="B32" s="25"/>
      <c r="C32" s="25"/>
      <c r="D32" s="25">
        <v>4</v>
      </c>
      <c r="H32" s="25"/>
      <c r="I32" s="25"/>
      <c r="J32" s="25">
        <v>0</v>
      </c>
      <c r="M32" s="18">
        <v>0</v>
      </c>
    </row>
    <row r="33" spans="2:13" x14ac:dyDescent="0.25">
      <c r="B33" s="25"/>
      <c r="C33" s="25"/>
      <c r="D33" s="25">
        <v>4</v>
      </c>
      <c r="H33" s="25"/>
      <c r="I33" s="25"/>
      <c r="J33" s="25">
        <v>0</v>
      </c>
      <c r="M33" s="18">
        <v>0</v>
      </c>
    </row>
    <row r="34" spans="2:13" x14ac:dyDescent="0.25">
      <c r="B34" s="25"/>
      <c r="C34" s="25"/>
      <c r="D34" s="25">
        <v>4</v>
      </c>
      <c r="H34" s="25"/>
      <c r="I34" s="25"/>
      <c r="J34" s="25">
        <v>1</v>
      </c>
      <c r="M34" s="18">
        <v>1</v>
      </c>
    </row>
    <row r="35" spans="2:13" x14ac:dyDescent="0.25">
      <c r="B35" s="25"/>
      <c r="C35" s="25"/>
      <c r="D35" s="25">
        <v>4</v>
      </c>
      <c r="H35" s="25"/>
      <c r="I35" s="25"/>
      <c r="J35" s="25">
        <v>0</v>
      </c>
      <c r="M35" s="18">
        <v>0</v>
      </c>
    </row>
    <row r="36" spans="2:13" x14ac:dyDescent="0.25">
      <c r="B36" s="25"/>
      <c r="C36" s="25"/>
      <c r="D36" s="25">
        <v>2</v>
      </c>
      <c r="H36" s="25"/>
      <c r="I36" s="25"/>
      <c r="J36" s="25">
        <v>0</v>
      </c>
      <c r="M36" s="18">
        <v>0</v>
      </c>
    </row>
    <row r="37" spans="2:13" x14ac:dyDescent="0.25">
      <c r="B37" s="25"/>
      <c r="C37" s="25"/>
      <c r="D37" s="25">
        <v>2</v>
      </c>
      <c r="H37" s="25"/>
      <c r="I37" s="25"/>
      <c r="J37" s="25">
        <v>0</v>
      </c>
      <c r="M37" s="18">
        <v>0</v>
      </c>
    </row>
    <row r="38" spans="2:13" x14ac:dyDescent="0.25">
      <c r="B38" s="25"/>
      <c r="C38" s="25"/>
      <c r="D38" s="25">
        <v>1</v>
      </c>
      <c r="H38" s="25"/>
      <c r="I38" s="25"/>
      <c r="J38" s="25">
        <v>0</v>
      </c>
      <c r="M38" s="18">
        <v>0</v>
      </c>
    </row>
    <row r="39" spans="2:13" x14ac:dyDescent="0.25">
      <c r="C39" t="s">
        <v>101</v>
      </c>
      <c r="D39">
        <v>1</v>
      </c>
      <c r="I39" t="s">
        <v>101</v>
      </c>
      <c r="J39">
        <v>0</v>
      </c>
    </row>
    <row r="40" spans="2:13" x14ac:dyDescent="0.25">
      <c r="C40" t="s">
        <v>102</v>
      </c>
      <c r="D40">
        <v>4</v>
      </c>
      <c r="I40" t="s">
        <v>102</v>
      </c>
      <c r="J40">
        <v>2</v>
      </c>
    </row>
    <row r="41" spans="2:13" x14ac:dyDescent="0.25">
      <c r="C41" t="s">
        <v>103</v>
      </c>
      <c r="D41">
        <v>3.2</v>
      </c>
      <c r="I41" t="s">
        <v>103</v>
      </c>
      <c r="J41">
        <v>0.3</v>
      </c>
    </row>
    <row r="42" spans="2:13" x14ac:dyDescent="0.25">
      <c r="C42" t="s">
        <v>93</v>
      </c>
      <c r="D42">
        <v>1.1352924243950933</v>
      </c>
      <c r="I42" t="s">
        <v>93</v>
      </c>
      <c r="J42">
        <v>0.67494855771055284</v>
      </c>
    </row>
    <row r="44" spans="2:13" x14ac:dyDescent="0.25">
      <c r="C44" t="s">
        <v>95</v>
      </c>
      <c r="I44" t="s">
        <v>95</v>
      </c>
    </row>
    <row r="45" spans="2:13" x14ac:dyDescent="0.25">
      <c r="C45" t="s">
        <v>103</v>
      </c>
      <c r="D45">
        <v>2.7241379310344827</v>
      </c>
      <c r="I45" t="s">
        <v>103</v>
      </c>
      <c r="J45">
        <v>1.2413793103448276</v>
      </c>
    </row>
    <row r="46" spans="2:13" x14ac:dyDescent="0.25">
      <c r="C46" t="s">
        <v>93</v>
      </c>
      <c r="D46">
        <v>1.5094121780192147</v>
      </c>
      <c r="I46" t="s">
        <v>93</v>
      </c>
      <c r="J46">
        <v>1.5958690515066236</v>
      </c>
    </row>
    <row r="47" spans="2:13" x14ac:dyDescent="0.25">
      <c r="C47" t="s">
        <v>101</v>
      </c>
      <c r="D47">
        <v>0</v>
      </c>
      <c r="I47" t="s">
        <v>101</v>
      </c>
      <c r="J47">
        <v>0</v>
      </c>
    </row>
    <row r="48" spans="2:13" x14ac:dyDescent="0.25">
      <c r="C48" t="s">
        <v>102</v>
      </c>
      <c r="D48">
        <v>5</v>
      </c>
      <c r="I48" t="s">
        <v>102</v>
      </c>
      <c r="J48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CFB-54AD-4C9C-8B69-046BD9E32DCB}">
  <dimension ref="A1:N48"/>
  <sheetViews>
    <sheetView topLeftCell="A22" workbookViewId="0">
      <selection activeCell="N29" sqref="N29:N38"/>
    </sheetView>
  </sheetViews>
  <sheetFormatPr defaultRowHeight="15" x14ac:dyDescent="0.25"/>
  <cols>
    <col min="13" max="13" width="18.28515625" customWidth="1"/>
  </cols>
  <sheetData>
    <row r="1" spans="1:14" x14ac:dyDescent="0.25">
      <c r="A1" t="s">
        <v>112</v>
      </c>
      <c r="G1" t="s">
        <v>113</v>
      </c>
      <c r="M1" t="s">
        <v>117</v>
      </c>
    </row>
    <row r="2" spans="1:14" x14ac:dyDescent="0.25">
      <c r="B2" s="27" t="s">
        <v>106</v>
      </c>
      <c r="C2" s="27"/>
      <c r="D2" s="27">
        <v>2.1</v>
      </c>
      <c r="H2" s="27" t="s">
        <v>106</v>
      </c>
      <c r="I2" s="27"/>
      <c r="J2" s="27">
        <v>2.5750000000000002</v>
      </c>
      <c r="N2">
        <f>J2</f>
        <v>2.5750000000000002</v>
      </c>
    </row>
    <row r="3" spans="1:14" x14ac:dyDescent="0.25">
      <c r="B3" s="27"/>
      <c r="C3" s="27"/>
      <c r="D3" s="27">
        <v>1.2</v>
      </c>
      <c r="H3" s="27"/>
      <c r="I3" s="27"/>
      <c r="J3" s="27">
        <v>1.175</v>
      </c>
      <c r="N3">
        <f t="shared" ref="N3:N8" si="0">J3</f>
        <v>1.175</v>
      </c>
    </row>
    <row r="4" spans="1:14" x14ac:dyDescent="0.25">
      <c r="B4" s="27"/>
      <c r="C4" s="27"/>
      <c r="D4" s="27">
        <v>3.3250000000000002</v>
      </c>
      <c r="H4" s="27"/>
      <c r="I4" s="27"/>
      <c r="J4" s="27">
        <v>2.15</v>
      </c>
      <c r="N4">
        <f t="shared" si="0"/>
        <v>2.15</v>
      </c>
    </row>
    <row r="5" spans="1:14" x14ac:dyDescent="0.25">
      <c r="B5" s="27"/>
      <c r="C5" s="27"/>
      <c r="D5" s="27">
        <v>1.675</v>
      </c>
      <c r="H5" s="27"/>
      <c r="I5" s="27"/>
      <c r="J5" s="27">
        <v>1.8</v>
      </c>
      <c r="N5">
        <f t="shared" si="0"/>
        <v>1.8</v>
      </c>
    </row>
    <row r="6" spans="1:14" x14ac:dyDescent="0.25">
      <c r="B6" s="27"/>
      <c r="C6" s="27"/>
      <c r="D6" s="27">
        <v>1.2749999999999999</v>
      </c>
      <c r="H6" s="27"/>
      <c r="I6" s="27"/>
      <c r="J6" s="27">
        <v>1.175</v>
      </c>
      <c r="N6">
        <f t="shared" si="0"/>
        <v>1.175</v>
      </c>
    </row>
    <row r="7" spans="1:14" x14ac:dyDescent="0.25">
      <c r="B7" s="27"/>
      <c r="C7" s="27"/>
      <c r="D7" s="27">
        <v>2.1749999999999998</v>
      </c>
      <c r="H7" s="27"/>
      <c r="I7" s="27"/>
      <c r="J7" s="27">
        <v>2.2250000000000001</v>
      </c>
      <c r="N7">
        <f t="shared" si="0"/>
        <v>2.2250000000000001</v>
      </c>
    </row>
    <row r="8" spans="1:14" x14ac:dyDescent="0.25">
      <c r="B8" s="27"/>
      <c r="C8" s="27"/>
      <c r="D8" s="27">
        <v>2.8250000000000002</v>
      </c>
      <c r="H8" s="27"/>
      <c r="I8" s="27"/>
      <c r="J8" s="27">
        <v>2.7</v>
      </c>
      <c r="N8">
        <f t="shared" si="0"/>
        <v>2.7</v>
      </c>
    </row>
    <row r="9" spans="1:14" x14ac:dyDescent="0.25">
      <c r="B9" s="27"/>
      <c r="C9" s="27"/>
      <c r="D9" s="27">
        <v>2.4249999999999998</v>
      </c>
      <c r="H9" s="27"/>
      <c r="I9" s="27"/>
      <c r="J9" s="27">
        <v>1.825</v>
      </c>
      <c r="N9">
        <f>J9</f>
        <v>1.825</v>
      </c>
    </row>
    <row r="10" spans="1:14" x14ac:dyDescent="0.25">
      <c r="B10" s="27"/>
      <c r="C10" s="27"/>
      <c r="D10" s="27">
        <v>1.625</v>
      </c>
      <c r="H10" s="27"/>
      <c r="I10" s="27"/>
      <c r="J10" s="27">
        <v>1.075</v>
      </c>
    </row>
    <row r="11" spans="1:14" x14ac:dyDescent="0.25">
      <c r="C11" t="s">
        <v>101</v>
      </c>
      <c r="D11">
        <v>1.2</v>
      </c>
      <c r="I11" t="s">
        <v>101</v>
      </c>
      <c r="J11">
        <v>1.075</v>
      </c>
    </row>
    <row r="12" spans="1:14" x14ac:dyDescent="0.25">
      <c r="C12" t="s">
        <v>102</v>
      </c>
      <c r="D12">
        <v>3.3250000000000002</v>
      </c>
      <c r="I12" t="s">
        <v>102</v>
      </c>
      <c r="J12">
        <v>2.7</v>
      </c>
    </row>
    <row r="13" spans="1:14" x14ac:dyDescent="0.25">
      <c r="C13" t="s">
        <v>103</v>
      </c>
      <c r="D13">
        <v>2.0694444444444446</v>
      </c>
      <c r="I13" t="s">
        <v>103</v>
      </c>
      <c r="J13">
        <v>1.8555555555555554</v>
      </c>
    </row>
    <row r="14" spans="1:14" x14ac:dyDescent="0.25">
      <c r="C14" t="s">
        <v>93</v>
      </c>
      <c r="D14">
        <v>0.70939870861017063</v>
      </c>
      <c r="I14" t="s">
        <v>93</v>
      </c>
      <c r="J14">
        <v>0.6117058343499574</v>
      </c>
    </row>
    <row r="15" spans="1:14" x14ac:dyDescent="0.25">
      <c r="B15" s="26" t="s">
        <v>105</v>
      </c>
      <c r="C15" s="26"/>
      <c r="D15" s="26">
        <v>2.0249999999999999</v>
      </c>
      <c r="H15" s="26" t="s">
        <v>105</v>
      </c>
      <c r="I15" s="26"/>
      <c r="J15" s="26">
        <v>2</v>
      </c>
      <c r="N15">
        <f t="shared" ref="N15:N24" si="1">J15</f>
        <v>2</v>
      </c>
    </row>
    <row r="16" spans="1:14" x14ac:dyDescent="0.25">
      <c r="B16" s="26"/>
      <c r="C16" s="26"/>
      <c r="D16" s="26">
        <v>2.1749999999999998</v>
      </c>
      <c r="H16" s="26"/>
      <c r="I16" s="26"/>
      <c r="J16" s="26">
        <v>1.95</v>
      </c>
      <c r="N16">
        <f t="shared" si="1"/>
        <v>1.95</v>
      </c>
    </row>
    <row r="17" spans="2:14" x14ac:dyDescent="0.25">
      <c r="B17" s="26"/>
      <c r="C17" s="26"/>
      <c r="D17" s="26">
        <v>2.4249999999999998</v>
      </c>
      <c r="H17" s="26"/>
      <c r="I17" s="26"/>
      <c r="J17" s="26">
        <v>2.1749999999999998</v>
      </c>
      <c r="N17">
        <f t="shared" si="1"/>
        <v>2.1749999999999998</v>
      </c>
    </row>
    <row r="18" spans="2:14" x14ac:dyDescent="0.25">
      <c r="B18" s="26"/>
      <c r="C18" s="26"/>
      <c r="D18" s="26">
        <v>1.65</v>
      </c>
      <c r="H18" s="26"/>
      <c r="I18" s="26"/>
      <c r="J18" s="26">
        <v>1.5249999999999999</v>
      </c>
      <c r="N18">
        <f t="shared" si="1"/>
        <v>1.5249999999999999</v>
      </c>
    </row>
    <row r="19" spans="2:14" x14ac:dyDescent="0.25">
      <c r="B19" s="26"/>
      <c r="C19" s="26"/>
      <c r="D19" s="26">
        <v>2.85</v>
      </c>
      <c r="H19" s="26"/>
      <c r="I19" s="26"/>
      <c r="J19" s="26">
        <v>2.7749999999999999</v>
      </c>
      <c r="N19">
        <f t="shared" si="1"/>
        <v>2.7749999999999999</v>
      </c>
    </row>
    <row r="20" spans="2:14" x14ac:dyDescent="0.25">
      <c r="B20" s="26"/>
      <c r="C20" s="26"/>
      <c r="D20" s="26">
        <v>2.2749999999999999</v>
      </c>
      <c r="H20" s="26"/>
      <c r="I20" s="26"/>
      <c r="J20" s="26">
        <v>2.15</v>
      </c>
      <c r="N20">
        <f t="shared" si="1"/>
        <v>2.15</v>
      </c>
    </row>
    <row r="21" spans="2:14" x14ac:dyDescent="0.25">
      <c r="B21" s="26"/>
      <c r="C21" s="26"/>
      <c r="D21" s="26">
        <v>2.65</v>
      </c>
      <c r="H21" s="26"/>
      <c r="I21" s="26"/>
      <c r="J21" s="26">
        <v>2.2999999999999998</v>
      </c>
      <c r="N21">
        <f t="shared" si="1"/>
        <v>2.2999999999999998</v>
      </c>
    </row>
    <row r="22" spans="2:14" x14ac:dyDescent="0.25">
      <c r="B22" s="26"/>
      <c r="C22" s="26"/>
      <c r="D22" s="26">
        <v>2.3250000000000002</v>
      </c>
      <c r="H22" s="26"/>
      <c r="I22" s="26"/>
      <c r="J22" s="26">
        <v>2.25</v>
      </c>
      <c r="N22">
        <f t="shared" si="1"/>
        <v>2.25</v>
      </c>
    </row>
    <row r="23" spans="2:14" x14ac:dyDescent="0.25">
      <c r="B23" s="26"/>
      <c r="C23" s="26"/>
      <c r="D23" s="26">
        <v>2.375</v>
      </c>
      <c r="H23" s="26"/>
      <c r="I23" s="26"/>
      <c r="J23" s="26">
        <v>1.95</v>
      </c>
      <c r="N23">
        <f t="shared" si="1"/>
        <v>1.95</v>
      </c>
    </row>
    <row r="24" spans="2:14" x14ac:dyDescent="0.25">
      <c r="B24" s="26"/>
      <c r="C24" s="26"/>
      <c r="D24" s="26">
        <v>1.675</v>
      </c>
      <c r="H24" s="26"/>
      <c r="I24" s="26"/>
      <c r="J24" s="26">
        <v>1.2</v>
      </c>
      <c r="N24">
        <f t="shared" si="1"/>
        <v>1.2</v>
      </c>
    </row>
    <row r="25" spans="2:14" x14ac:dyDescent="0.25">
      <c r="C25" t="s">
        <v>101</v>
      </c>
      <c r="D25">
        <v>1.65</v>
      </c>
      <c r="I25" t="s">
        <v>101</v>
      </c>
      <c r="J25">
        <v>1.2</v>
      </c>
    </row>
    <row r="26" spans="2:14" x14ac:dyDescent="0.25">
      <c r="C26" t="s">
        <v>102</v>
      </c>
      <c r="D26">
        <v>2.85</v>
      </c>
      <c r="I26" t="s">
        <v>102</v>
      </c>
      <c r="J26">
        <v>2.7749999999999999</v>
      </c>
    </row>
    <row r="27" spans="2:14" x14ac:dyDescent="0.25">
      <c r="C27" t="s">
        <v>103</v>
      </c>
      <c r="D27">
        <v>2.2424999999999997</v>
      </c>
      <c r="I27" t="s">
        <v>103</v>
      </c>
      <c r="J27">
        <v>2.0274999999999999</v>
      </c>
    </row>
    <row r="28" spans="2:14" x14ac:dyDescent="0.25">
      <c r="C28" t="s">
        <v>93</v>
      </c>
      <c r="D28">
        <v>0.38279853999489472</v>
      </c>
      <c r="I28" t="s">
        <v>93</v>
      </c>
      <c r="J28">
        <v>0.43067292307117133</v>
      </c>
    </row>
    <row r="29" spans="2:14" x14ac:dyDescent="0.25">
      <c r="B29" s="25" t="s">
        <v>104</v>
      </c>
      <c r="C29" s="25"/>
      <c r="D29" s="25">
        <v>2.95</v>
      </c>
      <c r="H29" s="25" t="s">
        <v>104</v>
      </c>
      <c r="I29" s="25"/>
      <c r="J29" s="25">
        <v>1.2250000000000001</v>
      </c>
      <c r="N29" s="18">
        <f t="shared" ref="N29:N38" si="2">J29</f>
        <v>1.2250000000000001</v>
      </c>
    </row>
    <row r="30" spans="2:14" x14ac:dyDescent="0.25">
      <c r="B30" s="25"/>
      <c r="C30" s="25"/>
      <c r="D30" s="25">
        <v>2.1</v>
      </c>
      <c r="H30" s="25"/>
      <c r="I30" s="25"/>
      <c r="J30" s="25">
        <v>1.2</v>
      </c>
      <c r="N30" s="18">
        <f t="shared" si="2"/>
        <v>1.2</v>
      </c>
    </row>
    <row r="31" spans="2:14" x14ac:dyDescent="0.25">
      <c r="B31" s="25"/>
      <c r="C31" s="25"/>
      <c r="D31" s="25">
        <v>3.05</v>
      </c>
      <c r="H31" s="25"/>
      <c r="I31" s="25"/>
      <c r="J31" s="25">
        <v>1.8</v>
      </c>
      <c r="N31" s="18">
        <f t="shared" si="2"/>
        <v>1.8</v>
      </c>
    </row>
    <row r="32" spans="2:14" x14ac:dyDescent="0.25">
      <c r="B32" s="25"/>
      <c r="C32" s="25"/>
      <c r="D32" s="25">
        <v>1.55</v>
      </c>
      <c r="H32" s="25"/>
      <c r="I32" s="25"/>
      <c r="J32" s="25">
        <v>1</v>
      </c>
      <c r="N32" s="18">
        <f t="shared" si="2"/>
        <v>1</v>
      </c>
    </row>
    <row r="33" spans="2:14" x14ac:dyDescent="0.25">
      <c r="B33" s="25"/>
      <c r="C33" s="25"/>
      <c r="D33" s="25">
        <v>2.3250000000000002</v>
      </c>
      <c r="H33" s="25"/>
      <c r="I33" s="25"/>
      <c r="J33" s="25">
        <v>1.4</v>
      </c>
      <c r="N33" s="18">
        <f t="shared" si="2"/>
        <v>1.4</v>
      </c>
    </row>
    <row r="34" spans="2:14" x14ac:dyDescent="0.25">
      <c r="B34" s="25"/>
      <c r="C34" s="25"/>
      <c r="D34" s="25">
        <v>1.875</v>
      </c>
      <c r="H34" s="25"/>
      <c r="I34" s="25"/>
      <c r="J34" s="25">
        <v>1.35</v>
      </c>
      <c r="N34" s="18">
        <f t="shared" si="2"/>
        <v>1.35</v>
      </c>
    </row>
    <row r="35" spans="2:14" x14ac:dyDescent="0.25">
      <c r="B35" s="25"/>
      <c r="C35" s="25"/>
      <c r="D35" s="25">
        <v>1.925</v>
      </c>
      <c r="H35" s="25"/>
      <c r="I35" s="25"/>
      <c r="J35" s="25">
        <v>1.1499999999999999</v>
      </c>
      <c r="N35" s="18">
        <f t="shared" si="2"/>
        <v>1.1499999999999999</v>
      </c>
    </row>
    <row r="36" spans="2:14" x14ac:dyDescent="0.25">
      <c r="B36" s="25"/>
      <c r="C36" s="25"/>
      <c r="D36" s="25">
        <v>2.1749999999999998</v>
      </c>
      <c r="H36" s="25"/>
      <c r="I36" s="25"/>
      <c r="J36" s="25">
        <v>1.175</v>
      </c>
      <c r="N36" s="18">
        <f t="shared" si="2"/>
        <v>1.175</v>
      </c>
    </row>
    <row r="37" spans="2:14" x14ac:dyDescent="0.25">
      <c r="B37" s="25"/>
      <c r="C37" s="25"/>
      <c r="D37" s="25">
        <v>1.9750000000000001</v>
      </c>
      <c r="H37" s="25"/>
      <c r="I37" s="25"/>
      <c r="J37" s="25">
        <v>1.25</v>
      </c>
      <c r="N37" s="18">
        <f t="shared" si="2"/>
        <v>1.25</v>
      </c>
    </row>
    <row r="38" spans="2:14" x14ac:dyDescent="0.25">
      <c r="B38" s="25"/>
      <c r="C38" s="25"/>
      <c r="D38" s="25">
        <v>1.85</v>
      </c>
      <c r="H38" s="25"/>
      <c r="I38" s="25"/>
      <c r="J38" s="25">
        <v>1.25</v>
      </c>
      <c r="N38" s="18">
        <f t="shared" si="2"/>
        <v>1.25</v>
      </c>
    </row>
    <row r="39" spans="2:14" x14ac:dyDescent="0.25">
      <c r="C39" t="s">
        <v>101</v>
      </c>
      <c r="D39">
        <v>1.55</v>
      </c>
      <c r="I39" t="s">
        <v>101</v>
      </c>
      <c r="J39">
        <v>1</v>
      </c>
    </row>
    <row r="40" spans="2:14" x14ac:dyDescent="0.25">
      <c r="C40" t="s">
        <v>102</v>
      </c>
      <c r="D40">
        <v>3.05</v>
      </c>
      <c r="I40" t="s">
        <v>102</v>
      </c>
      <c r="J40">
        <v>1.8</v>
      </c>
    </row>
    <row r="41" spans="2:14" x14ac:dyDescent="0.25">
      <c r="C41" t="s">
        <v>103</v>
      </c>
      <c r="D41">
        <v>2.1775000000000007</v>
      </c>
      <c r="I41" t="s">
        <v>103</v>
      </c>
      <c r="J41">
        <v>1.28</v>
      </c>
    </row>
    <row r="42" spans="2:14" x14ac:dyDescent="0.25">
      <c r="C42" t="s">
        <v>93</v>
      </c>
      <c r="D42">
        <v>0.48109395016865947</v>
      </c>
      <c r="I42" t="s">
        <v>93</v>
      </c>
      <c r="J42">
        <v>0.21272047386182494</v>
      </c>
    </row>
    <row r="44" spans="2:14" x14ac:dyDescent="0.25">
      <c r="C44" t="s">
        <v>95</v>
      </c>
      <c r="I44" t="s">
        <v>95</v>
      </c>
    </row>
    <row r="45" spans="2:14" x14ac:dyDescent="0.25">
      <c r="C45" t="s">
        <v>103</v>
      </c>
      <c r="D45">
        <v>2.1663793103448272</v>
      </c>
      <c r="I45" t="s">
        <v>103</v>
      </c>
      <c r="J45">
        <v>1.7163793103448275</v>
      </c>
    </row>
    <row r="46" spans="2:14" x14ac:dyDescent="0.25">
      <c r="C46" t="s">
        <v>93</v>
      </c>
      <c r="D46">
        <v>0.52001355846287489</v>
      </c>
      <c r="I46" t="s">
        <v>93</v>
      </c>
      <c r="J46">
        <v>0.53840355375824467</v>
      </c>
    </row>
    <row r="47" spans="2:14" x14ac:dyDescent="0.25">
      <c r="C47" t="s">
        <v>101</v>
      </c>
      <c r="D47">
        <v>1.2</v>
      </c>
      <c r="I47" t="s">
        <v>101</v>
      </c>
      <c r="J47">
        <v>1</v>
      </c>
    </row>
    <row r="48" spans="2:14" x14ac:dyDescent="0.25">
      <c r="C48" t="s">
        <v>102</v>
      </c>
      <c r="D48">
        <v>3.3250000000000002</v>
      </c>
      <c r="I48" t="s">
        <v>102</v>
      </c>
      <c r="J48">
        <v>2.7749999999999999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91C7-8DD1-4485-BA62-1D631336B646}">
  <dimension ref="A1:M48"/>
  <sheetViews>
    <sheetView topLeftCell="A7" workbookViewId="0">
      <selection activeCell="M29" sqref="M29:M38"/>
    </sheetView>
  </sheetViews>
  <sheetFormatPr defaultRowHeight="15" x14ac:dyDescent="0.25"/>
  <cols>
    <col min="1" max="1" width="18.140625" customWidth="1"/>
    <col min="7" max="7" width="18.42578125" customWidth="1"/>
  </cols>
  <sheetData>
    <row r="1" spans="1:13" x14ac:dyDescent="0.25">
      <c r="A1" t="s">
        <v>118</v>
      </c>
      <c r="G1" t="s">
        <v>119</v>
      </c>
      <c r="M1" t="s">
        <v>126</v>
      </c>
    </row>
    <row r="2" spans="1:13" x14ac:dyDescent="0.25">
      <c r="B2" s="27" t="s">
        <v>106</v>
      </c>
      <c r="C2" s="27"/>
      <c r="D2" s="27">
        <v>30</v>
      </c>
      <c r="H2" s="27" t="s">
        <v>106</v>
      </c>
      <c r="I2" s="27"/>
      <c r="J2" s="27">
        <v>32</v>
      </c>
      <c r="M2">
        <f>J2</f>
        <v>32</v>
      </c>
    </row>
    <row r="3" spans="1:13" x14ac:dyDescent="0.25">
      <c r="B3" s="27"/>
      <c r="C3" s="27"/>
      <c r="D3" s="27">
        <v>57</v>
      </c>
      <c r="H3" s="27"/>
      <c r="I3" s="27"/>
      <c r="J3" s="27">
        <v>56</v>
      </c>
      <c r="M3">
        <f t="shared" ref="M3:M10" si="0">J3</f>
        <v>56</v>
      </c>
    </row>
    <row r="4" spans="1:13" x14ac:dyDescent="0.25">
      <c r="B4" s="27"/>
      <c r="C4" s="27"/>
      <c r="D4" s="27">
        <v>30</v>
      </c>
      <c r="H4" s="27"/>
      <c r="I4" s="27"/>
      <c r="J4" s="27">
        <v>23</v>
      </c>
      <c r="M4">
        <f t="shared" si="0"/>
        <v>23</v>
      </c>
    </row>
    <row r="5" spans="1:13" x14ac:dyDescent="0.25">
      <c r="B5" s="27"/>
      <c r="C5" s="27"/>
      <c r="D5" s="27">
        <v>44</v>
      </c>
      <c r="H5" s="27"/>
      <c r="I5" s="27"/>
      <c r="J5" s="27">
        <v>33</v>
      </c>
      <c r="M5">
        <f t="shared" si="0"/>
        <v>33</v>
      </c>
    </row>
    <row r="6" spans="1:13" x14ac:dyDescent="0.25">
      <c r="B6" s="27"/>
      <c r="C6" s="27"/>
      <c r="D6" s="27">
        <v>40</v>
      </c>
      <c r="H6" s="27"/>
      <c r="I6" s="27"/>
      <c r="J6" s="27">
        <v>38</v>
      </c>
      <c r="M6">
        <f t="shared" si="0"/>
        <v>38</v>
      </c>
    </row>
    <row r="7" spans="1:13" x14ac:dyDescent="0.25">
      <c r="B7" s="27"/>
      <c r="C7" s="27"/>
      <c r="D7" s="27">
        <v>43</v>
      </c>
      <c r="H7" s="27"/>
      <c r="I7" s="27"/>
      <c r="J7" s="27">
        <v>45</v>
      </c>
      <c r="M7">
        <f t="shared" si="0"/>
        <v>45</v>
      </c>
    </row>
    <row r="8" spans="1:13" x14ac:dyDescent="0.25">
      <c r="B8" s="27"/>
      <c r="C8" s="27"/>
      <c r="D8" s="27">
        <v>30</v>
      </c>
      <c r="H8" s="27"/>
      <c r="I8" s="27"/>
      <c r="J8" s="27">
        <v>25</v>
      </c>
      <c r="M8">
        <f t="shared" si="0"/>
        <v>25</v>
      </c>
    </row>
    <row r="9" spans="1:13" x14ac:dyDescent="0.25">
      <c r="B9" s="27"/>
      <c r="C9" s="27"/>
      <c r="D9" s="27">
        <v>30</v>
      </c>
      <c r="H9" s="27"/>
      <c r="I9" s="27"/>
      <c r="J9" s="27">
        <v>34</v>
      </c>
      <c r="M9">
        <f t="shared" si="0"/>
        <v>34</v>
      </c>
    </row>
    <row r="10" spans="1:13" x14ac:dyDescent="0.25">
      <c r="B10" s="27"/>
      <c r="C10" s="27"/>
      <c r="D10" s="27">
        <v>46</v>
      </c>
      <c r="H10" s="27"/>
      <c r="I10" s="27"/>
      <c r="J10" s="27">
        <v>47</v>
      </c>
      <c r="M10">
        <f t="shared" si="0"/>
        <v>47</v>
      </c>
    </row>
    <row r="11" spans="1:13" x14ac:dyDescent="0.25">
      <c r="C11" t="s">
        <v>101</v>
      </c>
      <c r="D11">
        <v>30</v>
      </c>
      <c r="I11" t="s">
        <v>101</v>
      </c>
      <c r="J11">
        <v>23</v>
      </c>
    </row>
    <row r="12" spans="1:13" x14ac:dyDescent="0.25">
      <c r="C12" t="s">
        <v>102</v>
      </c>
      <c r="D12">
        <v>57</v>
      </c>
      <c r="I12" t="s">
        <v>102</v>
      </c>
      <c r="J12">
        <v>56</v>
      </c>
    </row>
    <row r="13" spans="1:13" x14ac:dyDescent="0.25">
      <c r="C13" t="s">
        <v>103</v>
      </c>
      <c r="D13">
        <v>38.888888888888886</v>
      </c>
      <c r="I13" t="s">
        <v>103</v>
      </c>
      <c r="J13">
        <v>37</v>
      </c>
    </row>
    <row r="14" spans="1:13" x14ac:dyDescent="0.25">
      <c r="C14" t="s">
        <v>93</v>
      </c>
      <c r="D14">
        <v>9.6104688288923281</v>
      </c>
      <c r="I14" t="s">
        <v>93</v>
      </c>
      <c r="J14">
        <v>10.700467279516348</v>
      </c>
    </row>
    <row r="15" spans="1:13" x14ac:dyDescent="0.25">
      <c r="B15" s="26" t="s">
        <v>105</v>
      </c>
      <c r="C15" s="26"/>
      <c r="D15" s="26">
        <v>46</v>
      </c>
      <c r="H15" s="26" t="s">
        <v>105</v>
      </c>
      <c r="I15" s="26"/>
      <c r="J15" s="26">
        <v>39</v>
      </c>
      <c r="M15">
        <f t="shared" ref="M15:M24" si="1">J15</f>
        <v>39</v>
      </c>
    </row>
    <row r="16" spans="1:13" x14ac:dyDescent="0.25">
      <c r="B16" s="26"/>
      <c r="C16" s="26"/>
      <c r="D16" s="26">
        <v>43</v>
      </c>
      <c r="H16" s="26"/>
      <c r="I16" s="26"/>
      <c r="J16" s="26">
        <v>37</v>
      </c>
      <c r="M16">
        <f t="shared" si="1"/>
        <v>37</v>
      </c>
    </row>
    <row r="17" spans="2:13" x14ac:dyDescent="0.25">
      <c r="B17" s="26"/>
      <c r="C17" s="26"/>
      <c r="D17" s="26">
        <v>40</v>
      </c>
      <c r="H17" s="26"/>
      <c r="I17" s="26"/>
      <c r="J17" s="26">
        <v>33</v>
      </c>
      <c r="M17">
        <f t="shared" si="1"/>
        <v>33</v>
      </c>
    </row>
    <row r="18" spans="2:13" x14ac:dyDescent="0.25">
      <c r="B18" s="26"/>
      <c r="C18" s="26"/>
      <c r="D18" s="26">
        <v>35</v>
      </c>
      <c r="H18" s="26"/>
      <c r="I18" s="26"/>
      <c r="J18" s="26">
        <v>45</v>
      </c>
      <c r="M18">
        <f t="shared" si="1"/>
        <v>45</v>
      </c>
    </row>
    <row r="19" spans="2:13" x14ac:dyDescent="0.25">
      <c r="B19" s="26"/>
      <c r="C19" s="26"/>
      <c r="D19" s="26">
        <v>31</v>
      </c>
      <c r="H19" s="26"/>
      <c r="I19" s="26"/>
      <c r="J19" s="26">
        <v>34</v>
      </c>
      <c r="M19">
        <f t="shared" si="1"/>
        <v>34</v>
      </c>
    </row>
    <row r="20" spans="2:13" x14ac:dyDescent="0.25">
      <c r="B20" s="26"/>
      <c r="C20" s="26"/>
      <c r="D20" s="26">
        <v>44</v>
      </c>
      <c r="H20" s="26"/>
      <c r="I20" s="26"/>
      <c r="J20" s="26">
        <v>31</v>
      </c>
      <c r="M20">
        <f t="shared" si="1"/>
        <v>31</v>
      </c>
    </row>
    <row r="21" spans="2:13" x14ac:dyDescent="0.25">
      <c r="B21" s="26"/>
      <c r="C21" s="26"/>
      <c r="D21" s="26">
        <v>42</v>
      </c>
      <c r="H21" s="26"/>
      <c r="I21" s="26"/>
      <c r="J21" s="26">
        <v>37</v>
      </c>
      <c r="M21">
        <f t="shared" si="1"/>
        <v>37</v>
      </c>
    </row>
    <row r="22" spans="2:13" x14ac:dyDescent="0.25">
      <c r="B22" s="26"/>
      <c r="C22" s="26"/>
      <c r="D22" s="26">
        <v>44</v>
      </c>
      <c r="H22" s="26"/>
      <c r="I22" s="26"/>
      <c r="J22" s="26">
        <v>37</v>
      </c>
      <c r="M22">
        <f t="shared" si="1"/>
        <v>37</v>
      </c>
    </row>
    <row r="23" spans="2:13" x14ac:dyDescent="0.25">
      <c r="B23" s="26"/>
      <c r="C23" s="26"/>
      <c r="D23" s="26">
        <v>39</v>
      </c>
      <c r="H23" s="26"/>
      <c r="I23" s="26"/>
      <c r="J23" s="26">
        <v>32</v>
      </c>
      <c r="M23">
        <f t="shared" si="1"/>
        <v>32</v>
      </c>
    </row>
    <row r="24" spans="2:13" x14ac:dyDescent="0.25">
      <c r="B24" s="26"/>
      <c r="C24" s="26"/>
      <c r="D24" s="26">
        <v>45</v>
      </c>
      <c r="H24" s="26"/>
      <c r="I24" s="26"/>
      <c r="J24" s="26">
        <v>49</v>
      </c>
      <c r="M24">
        <f t="shared" si="1"/>
        <v>49</v>
      </c>
    </row>
    <row r="25" spans="2:13" x14ac:dyDescent="0.25">
      <c r="C25" t="s">
        <v>101</v>
      </c>
      <c r="D25">
        <v>31</v>
      </c>
      <c r="I25" t="s">
        <v>101</v>
      </c>
      <c r="J25">
        <v>31</v>
      </c>
    </row>
    <row r="26" spans="2:13" x14ac:dyDescent="0.25">
      <c r="C26" t="s">
        <v>102</v>
      </c>
      <c r="D26">
        <v>46</v>
      </c>
      <c r="I26" t="s">
        <v>102</v>
      </c>
      <c r="J26">
        <v>49</v>
      </c>
    </row>
    <row r="27" spans="2:13" x14ac:dyDescent="0.25">
      <c r="C27" t="s">
        <v>103</v>
      </c>
      <c r="D27">
        <v>40.9</v>
      </c>
      <c r="I27" t="s">
        <v>103</v>
      </c>
      <c r="J27">
        <v>37.4</v>
      </c>
    </row>
    <row r="28" spans="2:13" x14ac:dyDescent="0.25">
      <c r="C28" t="s">
        <v>93</v>
      </c>
      <c r="D28">
        <v>4.7714428286071744</v>
      </c>
      <c r="I28" t="s">
        <v>93</v>
      </c>
      <c r="J28">
        <v>5.7387571244419551</v>
      </c>
    </row>
    <row r="29" spans="2:13" x14ac:dyDescent="0.25">
      <c r="B29" s="25" t="s">
        <v>104</v>
      </c>
      <c r="C29" s="25"/>
      <c r="D29" s="25">
        <v>46</v>
      </c>
      <c r="H29" s="25" t="s">
        <v>104</v>
      </c>
      <c r="I29" s="25"/>
      <c r="J29" s="25">
        <v>45</v>
      </c>
      <c r="M29" s="18">
        <f t="shared" ref="M29:M38" si="2">J29</f>
        <v>45</v>
      </c>
    </row>
    <row r="30" spans="2:13" x14ac:dyDescent="0.25">
      <c r="B30" s="25"/>
      <c r="C30" s="25"/>
      <c r="D30" s="25">
        <v>54</v>
      </c>
      <c r="H30" s="25"/>
      <c r="I30" s="25"/>
      <c r="J30" s="25">
        <v>43</v>
      </c>
      <c r="M30" s="18">
        <f t="shared" si="2"/>
        <v>43</v>
      </c>
    </row>
    <row r="31" spans="2:13" x14ac:dyDescent="0.25">
      <c r="B31" s="25"/>
      <c r="C31" s="25"/>
      <c r="D31" s="25">
        <v>33</v>
      </c>
      <c r="H31" s="25"/>
      <c r="I31" s="25"/>
      <c r="J31" s="25">
        <v>25</v>
      </c>
      <c r="M31" s="18">
        <f t="shared" si="2"/>
        <v>25</v>
      </c>
    </row>
    <row r="32" spans="2:13" x14ac:dyDescent="0.25">
      <c r="B32" s="25"/>
      <c r="C32" s="25"/>
      <c r="D32" s="25">
        <v>56</v>
      </c>
      <c r="H32" s="25"/>
      <c r="I32" s="25"/>
      <c r="J32" s="25">
        <v>45</v>
      </c>
      <c r="M32" s="18">
        <f t="shared" si="2"/>
        <v>45</v>
      </c>
    </row>
    <row r="33" spans="2:13" x14ac:dyDescent="0.25">
      <c r="B33" s="25"/>
      <c r="C33" s="25"/>
      <c r="D33" s="25">
        <v>41</v>
      </c>
      <c r="H33" s="25"/>
      <c r="I33" s="25"/>
      <c r="J33" s="25">
        <v>38</v>
      </c>
      <c r="M33" s="18">
        <f t="shared" si="2"/>
        <v>38</v>
      </c>
    </row>
    <row r="34" spans="2:13" x14ac:dyDescent="0.25">
      <c r="B34" s="25"/>
      <c r="C34" s="25"/>
      <c r="D34" s="25">
        <v>50</v>
      </c>
      <c r="H34" s="25"/>
      <c r="I34" s="25"/>
      <c r="J34" s="25">
        <v>42</v>
      </c>
      <c r="M34" s="18">
        <f t="shared" si="2"/>
        <v>42</v>
      </c>
    </row>
    <row r="35" spans="2:13" x14ac:dyDescent="0.25">
      <c r="B35" s="25"/>
      <c r="C35" s="25"/>
      <c r="D35" s="25">
        <v>53</v>
      </c>
      <c r="H35" s="25"/>
      <c r="I35" s="25"/>
      <c r="J35" s="25">
        <v>48</v>
      </c>
      <c r="M35" s="18">
        <f t="shared" si="2"/>
        <v>48</v>
      </c>
    </row>
    <row r="36" spans="2:13" x14ac:dyDescent="0.25">
      <c r="B36" s="25"/>
      <c r="C36" s="25"/>
      <c r="D36" s="25">
        <v>40</v>
      </c>
      <c r="H36" s="25"/>
      <c r="I36" s="25"/>
      <c r="J36" s="25">
        <v>46</v>
      </c>
      <c r="M36" s="18">
        <f t="shared" si="2"/>
        <v>46</v>
      </c>
    </row>
    <row r="37" spans="2:13" x14ac:dyDescent="0.25">
      <c r="B37" s="25"/>
      <c r="C37" s="25"/>
      <c r="D37" s="25">
        <v>46</v>
      </c>
      <c r="H37" s="25"/>
      <c r="I37" s="25"/>
      <c r="J37" s="25">
        <v>50</v>
      </c>
      <c r="M37" s="18">
        <f t="shared" si="2"/>
        <v>50</v>
      </c>
    </row>
    <row r="38" spans="2:13" x14ac:dyDescent="0.25">
      <c r="B38" s="25"/>
      <c r="C38" s="25"/>
      <c r="D38" s="25">
        <v>48</v>
      </c>
      <c r="H38" s="25"/>
      <c r="I38" s="25"/>
      <c r="J38" s="25">
        <v>44</v>
      </c>
      <c r="M38" s="18">
        <f t="shared" si="2"/>
        <v>44</v>
      </c>
    </row>
    <row r="39" spans="2:13" x14ac:dyDescent="0.25">
      <c r="C39" t="s">
        <v>101</v>
      </c>
      <c r="D39">
        <v>33</v>
      </c>
      <c r="I39" t="s">
        <v>101</v>
      </c>
      <c r="J39">
        <v>25</v>
      </c>
    </row>
    <row r="40" spans="2:13" x14ac:dyDescent="0.25">
      <c r="C40" t="s">
        <v>102</v>
      </c>
      <c r="D40">
        <v>56</v>
      </c>
      <c r="I40" t="s">
        <v>102</v>
      </c>
      <c r="J40">
        <v>50</v>
      </c>
    </row>
    <row r="41" spans="2:13" x14ac:dyDescent="0.25">
      <c r="C41" t="s">
        <v>103</v>
      </c>
      <c r="D41">
        <v>46.7</v>
      </c>
      <c r="I41" t="s">
        <v>103</v>
      </c>
      <c r="J41">
        <v>42.6</v>
      </c>
    </row>
    <row r="42" spans="2:13" x14ac:dyDescent="0.25">
      <c r="C42" t="s">
        <v>93</v>
      </c>
      <c r="D42">
        <v>7.1344235926947759</v>
      </c>
      <c r="I42" t="s">
        <v>93</v>
      </c>
      <c r="J42">
        <v>6.9952364744398379</v>
      </c>
    </row>
    <row r="44" spans="2:13" x14ac:dyDescent="0.25">
      <c r="C44" t="s">
        <v>95</v>
      </c>
      <c r="I44" t="s">
        <v>95</v>
      </c>
    </row>
    <row r="45" spans="2:13" x14ac:dyDescent="0.25">
      <c r="C45" t="s">
        <v>103</v>
      </c>
      <c r="D45">
        <v>42.275862068965516</v>
      </c>
      <c r="I45" t="s">
        <v>103</v>
      </c>
      <c r="J45">
        <v>39.068965517241381</v>
      </c>
    </row>
    <row r="46" spans="2:13" x14ac:dyDescent="0.25">
      <c r="C46" t="s">
        <v>93</v>
      </c>
      <c r="D46">
        <v>7.8371667243979077</v>
      </c>
      <c r="I46" t="s">
        <v>93</v>
      </c>
      <c r="J46">
        <v>8.1149378770738831</v>
      </c>
    </row>
    <row r="47" spans="2:13" x14ac:dyDescent="0.25">
      <c r="C47" t="s">
        <v>101</v>
      </c>
      <c r="D47">
        <v>30</v>
      </c>
      <c r="I47" t="s">
        <v>101</v>
      </c>
      <c r="J47">
        <v>23</v>
      </c>
    </row>
    <row r="48" spans="2:13" x14ac:dyDescent="0.25">
      <c r="C48" t="s">
        <v>102</v>
      </c>
      <c r="D48">
        <v>57</v>
      </c>
      <c r="I48" t="s">
        <v>102</v>
      </c>
      <c r="J48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2732-A52F-46D9-BF45-FDBB4A703755}">
  <dimension ref="A1:N48"/>
  <sheetViews>
    <sheetView topLeftCell="A8" workbookViewId="0">
      <selection activeCell="M29" sqref="M29:N38"/>
    </sheetView>
  </sheetViews>
  <sheetFormatPr defaultRowHeight="15" x14ac:dyDescent="0.25"/>
  <cols>
    <col min="1" max="1" width="18.5703125" customWidth="1"/>
    <col min="7" max="7" width="18.42578125" customWidth="1"/>
    <col min="13" max="13" width="18.42578125" customWidth="1"/>
    <col min="14" max="14" width="18.28515625" customWidth="1"/>
  </cols>
  <sheetData>
    <row r="1" spans="1:14" x14ac:dyDescent="0.25">
      <c r="A1" t="s">
        <v>120</v>
      </c>
      <c r="G1" t="s">
        <v>121</v>
      </c>
      <c r="M1" t="s">
        <v>127</v>
      </c>
      <c r="N1" t="s">
        <v>128</v>
      </c>
    </row>
    <row r="2" spans="1:14" x14ac:dyDescent="0.25">
      <c r="B2" s="27" t="s">
        <v>106</v>
      </c>
      <c r="C2" s="27"/>
      <c r="D2" s="27">
        <v>12</v>
      </c>
      <c r="H2" s="27" t="s">
        <v>106</v>
      </c>
      <c r="I2" s="27"/>
      <c r="J2" s="27">
        <v>8</v>
      </c>
      <c r="M2">
        <f>J2</f>
        <v>8</v>
      </c>
      <c r="N2">
        <f>J2-D2</f>
        <v>-4</v>
      </c>
    </row>
    <row r="3" spans="1:14" x14ac:dyDescent="0.25">
      <c r="B3" s="27"/>
      <c r="C3" s="27"/>
      <c r="D3" s="27">
        <v>35</v>
      </c>
      <c r="H3" s="27"/>
      <c r="I3" s="27"/>
      <c r="J3" s="27">
        <v>27</v>
      </c>
      <c r="M3">
        <f t="shared" ref="M3:M10" si="0">J3</f>
        <v>27</v>
      </c>
      <c r="N3">
        <f t="shared" ref="N3:N10" si="1">J3-D3</f>
        <v>-8</v>
      </c>
    </row>
    <row r="4" spans="1:14" x14ac:dyDescent="0.25">
      <c r="B4" s="27"/>
      <c r="C4" s="27"/>
      <c r="D4" s="27">
        <v>4</v>
      </c>
      <c r="H4" s="27"/>
      <c r="I4" s="27"/>
      <c r="J4" s="27">
        <v>9</v>
      </c>
      <c r="M4">
        <f t="shared" si="0"/>
        <v>9</v>
      </c>
      <c r="N4">
        <f t="shared" si="1"/>
        <v>5</v>
      </c>
    </row>
    <row r="5" spans="1:14" x14ac:dyDescent="0.25">
      <c r="B5" s="27"/>
      <c r="C5" s="27"/>
      <c r="D5" s="27">
        <v>25</v>
      </c>
      <c r="H5" s="27"/>
      <c r="I5" s="27"/>
      <c r="J5" s="27">
        <v>16</v>
      </c>
      <c r="M5">
        <f t="shared" si="0"/>
        <v>16</v>
      </c>
      <c r="N5">
        <f t="shared" si="1"/>
        <v>-9</v>
      </c>
    </row>
    <row r="6" spans="1:14" x14ac:dyDescent="0.25">
      <c r="B6" s="27"/>
      <c r="C6" s="27"/>
      <c r="D6" s="27">
        <v>12</v>
      </c>
      <c r="H6" s="27"/>
      <c r="I6" s="27"/>
      <c r="J6" s="27">
        <v>17</v>
      </c>
      <c r="M6">
        <f t="shared" si="0"/>
        <v>17</v>
      </c>
      <c r="N6">
        <f t="shared" si="1"/>
        <v>5</v>
      </c>
    </row>
    <row r="7" spans="1:14" x14ac:dyDescent="0.25">
      <c r="B7" s="27"/>
      <c r="C7" s="27"/>
      <c r="D7" s="27">
        <v>19</v>
      </c>
      <c r="H7" s="27"/>
      <c r="I7" s="27"/>
      <c r="J7" s="27">
        <v>18</v>
      </c>
      <c r="M7">
        <f t="shared" si="0"/>
        <v>18</v>
      </c>
      <c r="N7">
        <f t="shared" si="1"/>
        <v>-1</v>
      </c>
    </row>
    <row r="8" spans="1:14" x14ac:dyDescent="0.25">
      <c r="B8" s="27"/>
      <c r="C8" s="27"/>
      <c r="D8" s="27">
        <v>22</v>
      </c>
      <c r="H8" s="27"/>
      <c r="I8" s="27"/>
      <c r="J8" s="27">
        <v>19</v>
      </c>
      <c r="M8">
        <f t="shared" si="0"/>
        <v>19</v>
      </c>
      <c r="N8">
        <f t="shared" si="1"/>
        <v>-3</v>
      </c>
    </row>
    <row r="9" spans="1:14" x14ac:dyDescent="0.25">
      <c r="B9" s="27"/>
      <c r="C9" s="27"/>
      <c r="D9" s="27">
        <v>10</v>
      </c>
      <c r="H9" s="27"/>
      <c r="I9" s="27"/>
      <c r="J9" s="27">
        <v>13</v>
      </c>
      <c r="M9">
        <f t="shared" si="0"/>
        <v>13</v>
      </c>
      <c r="N9">
        <f t="shared" si="1"/>
        <v>3</v>
      </c>
    </row>
    <row r="10" spans="1:14" x14ac:dyDescent="0.25">
      <c r="B10" s="27"/>
      <c r="C10" s="27"/>
      <c r="D10" s="27">
        <v>19</v>
      </c>
      <c r="H10" s="27"/>
      <c r="I10" s="27"/>
      <c r="J10" s="27">
        <v>20</v>
      </c>
      <c r="M10">
        <f t="shared" si="0"/>
        <v>20</v>
      </c>
      <c r="N10">
        <f t="shared" si="1"/>
        <v>1</v>
      </c>
    </row>
    <row r="11" spans="1:14" x14ac:dyDescent="0.25">
      <c r="C11" t="s">
        <v>101</v>
      </c>
      <c r="D11">
        <v>4</v>
      </c>
      <c r="I11" t="s">
        <v>101</v>
      </c>
      <c r="J11">
        <v>8</v>
      </c>
    </row>
    <row r="12" spans="1:14" x14ac:dyDescent="0.25">
      <c r="C12" t="s">
        <v>102</v>
      </c>
      <c r="D12">
        <v>35</v>
      </c>
      <c r="I12" t="s">
        <v>102</v>
      </c>
      <c r="J12">
        <v>27</v>
      </c>
    </row>
    <row r="13" spans="1:14" x14ac:dyDescent="0.25">
      <c r="C13" t="s">
        <v>103</v>
      </c>
      <c r="D13">
        <v>17.555555555555557</v>
      </c>
      <c r="I13" t="s">
        <v>103</v>
      </c>
      <c r="J13">
        <v>16.333333333333332</v>
      </c>
    </row>
    <row r="14" spans="1:14" x14ac:dyDescent="0.25">
      <c r="C14" t="s">
        <v>93</v>
      </c>
      <c r="D14">
        <v>9.2616293262998699</v>
      </c>
      <c r="I14" t="s">
        <v>93</v>
      </c>
      <c r="J14">
        <v>5.8309518948453007</v>
      </c>
    </row>
    <row r="15" spans="1:14" x14ac:dyDescent="0.25">
      <c r="B15" s="26" t="s">
        <v>105</v>
      </c>
      <c r="C15" s="26"/>
      <c r="D15" s="26">
        <v>15</v>
      </c>
      <c r="H15" s="26" t="s">
        <v>105</v>
      </c>
      <c r="I15" s="26"/>
      <c r="J15" s="26">
        <v>21</v>
      </c>
      <c r="M15">
        <f t="shared" ref="M15:M24" si="2">J15</f>
        <v>21</v>
      </c>
      <c r="N15">
        <f t="shared" ref="N15:N24" si="3">J15-D15</f>
        <v>6</v>
      </c>
    </row>
    <row r="16" spans="1:14" x14ac:dyDescent="0.25">
      <c r="B16" s="26"/>
      <c r="C16" s="26"/>
      <c r="D16" s="26">
        <v>20</v>
      </c>
      <c r="H16" s="26"/>
      <c r="I16" s="26"/>
      <c r="J16" s="26">
        <v>18</v>
      </c>
      <c r="M16">
        <f t="shared" si="2"/>
        <v>18</v>
      </c>
      <c r="N16">
        <f t="shared" si="3"/>
        <v>-2</v>
      </c>
    </row>
    <row r="17" spans="2:14" x14ac:dyDescent="0.25">
      <c r="B17" s="26"/>
      <c r="C17" s="26"/>
      <c r="D17" s="26">
        <v>16</v>
      </c>
      <c r="H17" s="26"/>
      <c r="I17" s="26"/>
      <c r="J17" s="26">
        <v>15</v>
      </c>
      <c r="M17">
        <f t="shared" si="2"/>
        <v>15</v>
      </c>
      <c r="N17">
        <f t="shared" si="3"/>
        <v>-1</v>
      </c>
    </row>
    <row r="18" spans="2:14" x14ac:dyDescent="0.25">
      <c r="B18" s="26"/>
      <c r="C18" s="26"/>
      <c r="D18" s="26">
        <v>20</v>
      </c>
      <c r="H18" s="26"/>
      <c r="I18" s="26"/>
      <c r="J18" s="26">
        <v>13</v>
      </c>
      <c r="M18">
        <f t="shared" si="2"/>
        <v>13</v>
      </c>
      <c r="N18">
        <f t="shared" si="3"/>
        <v>-7</v>
      </c>
    </row>
    <row r="19" spans="2:14" x14ac:dyDescent="0.25">
      <c r="B19" s="26"/>
      <c r="C19" s="26"/>
      <c r="D19" s="26">
        <v>14</v>
      </c>
      <c r="H19" s="26"/>
      <c r="I19" s="26"/>
      <c r="J19" s="26">
        <v>7</v>
      </c>
      <c r="M19">
        <f t="shared" si="2"/>
        <v>7</v>
      </c>
      <c r="N19">
        <f t="shared" si="3"/>
        <v>-7</v>
      </c>
    </row>
    <row r="20" spans="2:14" x14ac:dyDescent="0.25">
      <c r="B20" s="26"/>
      <c r="C20" s="26"/>
      <c r="D20" s="26">
        <v>13</v>
      </c>
      <c r="H20" s="26"/>
      <c r="I20" s="26"/>
      <c r="J20" s="26">
        <v>16</v>
      </c>
      <c r="M20">
        <f t="shared" si="2"/>
        <v>16</v>
      </c>
      <c r="N20">
        <f t="shared" si="3"/>
        <v>3</v>
      </c>
    </row>
    <row r="21" spans="2:14" x14ac:dyDescent="0.25">
      <c r="B21" s="26"/>
      <c r="C21" s="26"/>
      <c r="D21" s="26">
        <v>14</v>
      </c>
      <c r="H21" s="26"/>
      <c r="I21" s="26"/>
      <c r="J21" s="26">
        <v>16</v>
      </c>
      <c r="M21">
        <f t="shared" si="2"/>
        <v>16</v>
      </c>
      <c r="N21">
        <f t="shared" si="3"/>
        <v>2</v>
      </c>
    </row>
    <row r="22" spans="2:14" x14ac:dyDescent="0.25">
      <c r="B22" s="26"/>
      <c r="C22" s="26"/>
      <c r="D22" s="26">
        <v>13</v>
      </c>
      <c r="H22" s="26"/>
      <c r="I22" s="26"/>
      <c r="J22" s="26">
        <v>17</v>
      </c>
      <c r="M22">
        <f t="shared" si="2"/>
        <v>17</v>
      </c>
      <c r="N22">
        <f t="shared" si="3"/>
        <v>4</v>
      </c>
    </row>
    <row r="23" spans="2:14" x14ac:dyDescent="0.25">
      <c r="B23" s="26"/>
      <c r="C23" s="26"/>
      <c r="D23" s="26">
        <v>12</v>
      </c>
      <c r="H23" s="26"/>
      <c r="I23" s="26"/>
      <c r="J23" s="26">
        <v>15</v>
      </c>
      <c r="M23">
        <f t="shared" si="2"/>
        <v>15</v>
      </c>
      <c r="N23">
        <f t="shared" si="3"/>
        <v>3</v>
      </c>
    </row>
    <row r="24" spans="2:14" x14ac:dyDescent="0.25">
      <c r="B24" s="26"/>
      <c r="C24" s="26"/>
      <c r="D24" s="26">
        <v>19</v>
      </c>
      <c r="H24" s="26"/>
      <c r="I24" s="26"/>
      <c r="J24" s="26">
        <v>21</v>
      </c>
      <c r="M24">
        <f t="shared" si="2"/>
        <v>21</v>
      </c>
      <c r="N24">
        <f t="shared" si="3"/>
        <v>2</v>
      </c>
    </row>
    <row r="25" spans="2:14" x14ac:dyDescent="0.25">
      <c r="C25" t="s">
        <v>101</v>
      </c>
      <c r="D25">
        <v>12</v>
      </c>
      <c r="I25" t="s">
        <v>101</v>
      </c>
      <c r="J25">
        <v>7</v>
      </c>
    </row>
    <row r="26" spans="2:14" x14ac:dyDescent="0.25">
      <c r="C26" t="s">
        <v>102</v>
      </c>
      <c r="D26">
        <v>20</v>
      </c>
      <c r="I26" t="s">
        <v>102</v>
      </c>
      <c r="J26">
        <v>21</v>
      </c>
    </row>
    <row r="27" spans="2:14" x14ac:dyDescent="0.25">
      <c r="C27" t="s">
        <v>103</v>
      </c>
      <c r="D27">
        <v>15.6</v>
      </c>
      <c r="I27" t="s">
        <v>103</v>
      </c>
      <c r="J27">
        <v>15.9</v>
      </c>
    </row>
    <row r="28" spans="2:14" x14ac:dyDescent="0.25">
      <c r="C28" t="s">
        <v>93</v>
      </c>
      <c r="D28">
        <v>3.0258148581093929</v>
      </c>
      <c r="I28" t="s">
        <v>93</v>
      </c>
      <c r="J28">
        <v>4.0400770069668512</v>
      </c>
    </row>
    <row r="29" spans="2:14" x14ac:dyDescent="0.25">
      <c r="B29" s="25" t="s">
        <v>104</v>
      </c>
      <c r="C29" s="25"/>
      <c r="D29" s="25">
        <v>13</v>
      </c>
      <c r="H29" s="25" t="s">
        <v>104</v>
      </c>
      <c r="I29" s="25"/>
      <c r="J29" s="25">
        <v>18</v>
      </c>
      <c r="M29" s="18">
        <f t="shared" ref="M29:M38" si="4">J29</f>
        <v>18</v>
      </c>
      <c r="N29" s="18">
        <f t="shared" ref="N29:N38" si="5">J29-D29</f>
        <v>5</v>
      </c>
    </row>
    <row r="30" spans="2:14" x14ac:dyDescent="0.25">
      <c r="B30" s="25"/>
      <c r="C30" s="25"/>
      <c r="D30" s="25">
        <v>22</v>
      </c>
      <c r="H30" s="25"/>
      <c r="I30" s="25"/>
      <c r="J30" s="25">
        <v>20</v>
      </c>
      <c r="M30" s="18">
        <f t="shared" si="4"/>
        <v>20</v>
      </c>
      <c r="N30" s="18">
        <f t="shared" si="5"/>
        <v>-2</v>
      </c>
    </row>
    <row r="31" spans="2:14" x14ac:dyDescent="0.25">
      <c r="B31" s="25"/>
      <c r="C31" s="25"/>
      <c r="D31" s="25">
        <v>7</v>
      </c>
      <c r="H31" s="25"/>
      <c r="I31" s="25"/>
      <c r="J31" s="25">
        <v>10</v>
      </c>
      <c r="M31" s="18">
        <f t="shared" si="4"/>
        <v>10</v>
      </c>
      <c r="N31" s="18">
        <f t="shared" si="5"/>
        <v>3</v>
      </c>
    </row>
    <row r="32" spans="2:14" x14ac:dyDescent="0.25">
      <c r="B32" s="25"/>
      <c r="C32" s="25"/>
      <c r="D32" s="25">
        <v>20</v>
      </c>
      <c r="H32" s="25"/>
      <c r="I32" s="25"/>
      <c r="J32" s="25">
        <v>20</v>
      </c>
      <c r="M32" s="18">
        <f t="shared" si="4"/>
        <v>20</v>
      </c>
      <c r="N32" s="18">
        <f t="shared" si="5"/>
        <v>0</v>
      </c>
    </row>
    <row r="33" spans="2:14" x14ac:dyDescent="0.25">
      <c r="B33" s="25"/>
      <c r="C33" s="25"/>
      <c r="D33" s="25">
        <v>13</v>
      </c>
      <c r="H33" s="25"/>
      <c r="I33" s="25"/>
      <c r="J33" s="25">
        <v>17</v>
      </c>
      <c r="M33" s="18">
        <f t="shared" si="4"/>
        <v>17</v>
      </c>
      <c r="N33" s="18">
        <f t="shared" si="5"/>
        <v>4</v>
      </c>
    </row>
    <row r="34" spans="2:14" x14ac:dyDescent="0.25">
      <c r="B34" s="25"/>
      <c r="C34" s="25"/>
      <c r="D34" s="25">
        <v>18</v>
      </c>
      <c r="H34" s="25"/>
      <c r="I34" s="25"/>
      <c r="J34" s="25">
        <v>20</v>
      </c>
      <c r="M34" s="18">
        <f t="shared" si="4"/>
        <v>20</v>
      </c>
      <c r="N34" s="18">
        <f t="shared" si="5"/>
        <v>2</v>
      </c>
    </row>
    <row r="35" spans="2:14" x14ac:dyDescent="0.25">
      <c r="B35" s="25"/>
      <c r="C35" s="25"/>
      <c r="D35" s="25">
        <v>18</v>
      </c>
      <c r="H35" s="25"/>
      <c r="I35" s="25"/>
      <c r="J35" s="25">
        <v>20</v>
      </c>
      <c r="M35" s="18">
        <f t="shared" si="4"/>
        <v>20</v>
      </c>
      <c r="N35" s="18">
        <f t="shared" si="5"/>
        <v>2</v>
      </c>
    </row>
    <row r="36" spans="2:14" x14ac:dyDescent="0.25">
      <c r="B36" s="25"/>
      <c r="C36" s="25"/>
      <c r="D36" s="25">
        <v>19</v>
      </c>
      <c r="H36" s="25"/>
      <c r="I36" s="25"/>
      <c r="J36" s="25">
        <v>20</v>
      </c>
      <c r="M36" s="18">
        <f t="shared" si="4"/>
        <v>20</v>
      </c>
      <c r="N36" s="18">
        <f t="shared" si="5"/>
        <v>1</v>
      </c>
    </row>
    <row r="37" spans="2:14" x14ac:dyDescent="0.25">
      <c r="B37" s="25"/>
      <c r="C37" s="25"/>
      <c r="D37" s="25">
        <v>17</v>
      </c>
      <c r="H37" s="25"/>
      <c r="I37" s="25"/>
      <c r="J37" s="25">
        <v>20</v>
      </c>
      <c r="M37" s="18">
        <f t="shared" si="4"/>
        <v>20</v>
      </c>
      <c r="N37" s="18">
        <f t="shared" si="5"/>
        <v>3</v>
      </c>
    </row>
    <row r="38" spans="2:14" x14ac:dyDescent="0.25">
      <c r="B38" s="25"/>
      <c r="C38" s="25"/>
      <c r="D38" s="25">
        <v>20</v>
      </c>
      <c r="H38" s="25"/>
      <c r="I38" s="25"/>
      <c r="J38" s="25">
        <v>18</v>
      </c>
      <c r="M38" s="18">
        <f t="shared" si="4"/>
        <v>18</v>
      </c>
      <c r="N38" s="18">
        <f t="shared" si="5"/>
        <v>-2</v>
      </c>
    </row>
    <row r="39" spans="2:14" x14ac:dyDescent="0.25">
      <c r="C39" t="s">
        <v>101</v>
      </c>
      <c r="D39">
        <v>7</v>
      </c>
      <c r="I39" t="s">
        <v>101</v>
      </c>
      <c r="J39">
        <v>10</v>
      </c>
    </row>
    <row r="40" spans="2:14" x14ac:dyDescent="0.25">
      <c r="C40" t="s">
        <v>102</v>
      </c>
      <c r="D40">
        <v>22</v>
      </c>
      <c r="I40" t="s">
        <v>102</v>
      </c>
      <c r="J40">
        <v>20</v>
      </c>
    </row>
    <row r="41" spans="2:14" x14ac:dyDescent="0.25">
      <c r="C41" t="s">
        <v>103</v>
      </c>
      <c r="D41">
        <v>16.7</v>
      </c>
      <c r="I41" t="s">
        <v>103</v>
      </c>
      <c r="J41">
        <v>18.3</v>
      </c>
    </row>
    <row r="42" spans="2:14" x14ac:dyDescent="0.25">
      <c r="C42" t="s">
        <v>93</v>
      </c>
      <c r="D42">
        <v>4.4733780424988794</v>
      </c>
      <c r="I42" t="s">
        <v>93</v>
      </c>
      <c r="J42">
        <v>3.1287200080686159</v>
      </c>
    </row>
    <row r="44" spans="2:14" x14ac:dyDescent="0.25">
      <c r="C44" t="s">
        <v>95</v>
      </c>
      <c r="I44" t="s">
        <v>95</v>
      </c>
    </row>
    <row r="45" spans="2:14" x14ac:dyDescent="0.25">
      <c r="C45" t="s">
        <v>103</v>
      </c>
      <c r="D45">
        <v>16.586206896551722</v>
      </c>
      <c r="I45" t="s">
        <v>103</v>
      </c>
      <c r="J45">
        <v>16.862068965517242</v>
      </c>
    </row>
    <row r="46" spans="2:14" x14ac:dyDescent="0.25">
      <c r="C46" t="s">
        <v>93</v>
      </c>
      <c r="D46">
        <v>5.8768142571301221</v>
      </c>
      <c r="I46" t="s">
        <v>93</v>
      </c>
      <c r="J46">
        <v>4.3893063064927178</v>
      </c>
    </row>
    <row r="47" spans="2:14" x14ac:dyDescent="0.25">
      <c r="C47" t="s">
        <v>101</v>
      </c>
      <c r="D47">
        <v>4</v>
      </c>
      <c r="I47" t="s">
        <v>101</v>
      </c>
      <c r="J47">
        <v>7</v>
      </c>
    </row>
    <row r="48" spans="2:14" x14ac:dyDescent="0.25">
      <c r="C48" t="s">
        <v>102</v>
      </c>
      <c r="D48">
        <v>35</v>
      </c>
      <c r="I48" t="s">
        <v>102</v>
      </c>
      <c r="J48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251A-EF84-4618-A996-1386D2345CD7}">
  <dimension ref="A1:N48"/>
  <sheetViews>
    <sheetView topLeftCell="A13" workbookViewId="0">
      <selection activeCell="R21" sqref="R21"/>
    </sheetView>
  </sheetViews>
  <sheetFormatPr defaultRowHeight="15" x14ac:dyDescent="0.25"/>
  <cols>
    <col min="1" max="1" width="18.28515625" customWidth="1"/>
    <col min="7" max="7" width="18.28515625" customWidth="1"/>
    <col min="13" max="13" width="18.28515625" customWidth="1"/>
    <col min="14" max="14" width="18" customWidth="1"/>
  </cols>
  <sheetData>
    <row r="1" spans="1:14" x14ac:dyDescent="0.25">
      <c r="A1" t="s">
        <v>124</v>
      </c>
      <c r="G1" t="s">
        <v>125</v>
      </c>
    </row>
    <row r="2" spans="1:14" x14ac:dyDescent="0.25">
      <c r="B2" s="27" t="s">
        <v>106</v>
      </c>
      <c r="C2" s="27"/>
      <c r="D2" s="27">
        <v>1.3333333333333333</v>
      </c>
      <c r="H2" s="27" t="s">
        <v>106</v>
      </c>
      <c r="I2" s="27"/>
      <c r="J2" s="27">
        <v>1</v>
      </c>
      <c r="M2" t="s">
        <v>127</v>
      </c>
      <c r="N2" t="s">
        <v>128</v>
      </c>
    </row>
    <row r="3" spans="1:14" x14ac:dyDescent="0.25">
      <c r="B3" s="27"/>
      <c r="C3" s="27"/>
      <c r="D3" s="27">
        <v>4.833333333333333</v>
      </c>
      <c r="H3" s="27"/>
      <c r="I3" s="27"/>
      <c r="J3" s="27">
        <v>4.333333333333333</v>
      </c>
      <c r="M3">
        <f>J3</f>
        <v>4.333333333333333</v>
      </c>
      <c r="N3">
        <f>J3-D3</f>
        <v>-0.5</v>
      </c>
    </row>
    <row r="4" spans="1:14" x14ac:dyDescent="0.25">
      <c r="B4" s="27"/>
      <c r="C4" s="27"/>
      <c r="D4" s="27">
        <v>1</v>
      </c>
      <c r="H4" s="27"/>
      <c r="I4" s="27"/>
      <c r="J4" s="27">
        <v>1</v>
      </c>
      <c r="M4">
        <f t="shared" ref="M4:M11" si="0">J4</f>
        <v>1</v>
      </c>
      <c r="N4">
        <f t="shared" ref="N4:N11" si="1">J4-D4</f>
        <v>0</v>
      </c>
    </row>
    <row r="5" spans="1:14" x14ac:dyDescent="0.25">
      <c r="B5" s="27"/>
      <c r="C5" s="27"/>
      <c r="D5" s="27">
        <v>2.5</v>
      </c>
      <c r="H5" s="27"/>
      <c r="I5" s="27"/>
      <c r="J5" s="27">
        <v>3.5</v>
      </c>
      <c r="M5">
        <f t="shared" si="0"/>
        <v>3.5</v>
      </c>
      <c r="N5">
        <f t="shared" si="1"/>
        <v>1</v>
      </c>
    </row>
    <row r="6" spans="1:14" x14ac:dyDescent="0.25">
      <c r="B6" s="27"/>
      <c r="C6" s="27"/>
      <c r="D6" s="27">
        <v>3.3333333333333335</v>
      </c>
      <c r="H6" s="27"/>
      <c r="I6" s="27"/>
      <c r="J6" s="27">
        <v>3</v>
      </c>
      <c r="M6">
        <f t="shared" si="0"/>
        <v>3</v>
      </c>
      <c r="N6">
        <f t="shared" si="1"/>
        <v>-0.33333333333333348</v>
      </c>
    </row>
    <row r="7" spans="1:14" x14ac:dyDescent="0.25">
      <c r="B7" s="27"/>
      <c r="C7" s="27"/>
      <c r="D7" s="27">
        <v>3</v>
      </c>
      <c r="H7" s="27"/>
      <c r="I7" s="27"/>
      <c r="J7" s="27">
        <v>3</v>
      </c>
      <c r="M7">
        <f t="shared" si="0"/>
        <v>3</v>
      </c>
      <c r="N7">
        <f t="shared" si="1"/>
        <v>0</v>
      </c>
    </row>
    <row r="8" spans="1:14" x14ac:dyDescent="0.25">
      <c r="B8" s="27"/>
      <c r="C8" s="27"/>
      <c r="D8" s="27">
        <v>2.3333333333333335</v>
      </c>
      <c r="H8" s="27"/>
      <c r="I8" s="27"/>
      <c r="J8" s="27">
        <v>1.8333333333333333</v>
      </c>
      <c r="M8">
        <f t="shared" si="0"/>
        <v>1.8333333333333333</v>
      </c>
      <c r="N8">
        <f t="shared" si="1"/>
        <v>-0.50000000000000022</v>
      </c>
    </row>
    <row r="9" spans="1:14" x14ac:dyDescent="0.25">
      <c r="B9" s="27"/>
      <c r="C9" s="27"/>
      <c r="D9" s="27">
        <v>1.5</v>
      </c>
      <c r="H9" s="27"/>
      <c r="I9" s="27"/>
      <c r="J9" s="27">
        <v>2</v>
      </c>
      <c r="M9">
        <f t="shared" si="0"/>
        <v>2</v>
      </c>
      <c r="N9">
        <f t="shared" si="1"/>
        <v>0.5</v>
      </c>
    </row>
    <row r="10" spans="1:14" x14ac:dyDescent="0.25">
      <c r="B10" s="27"/>
      <c r="C10" s="27"/>
      <c r="D10" s="27">
        <v>4</v>
      </c>
      <c r="H10" s="27"/>
      <c r="I10" s="27"/>
      <c r="J10" s="27">
        <v>4</v>
      </c>
      <c r="M10">
        <f t="shared" si="0"/>
        <v>4</v>
      </c>
      <c r="N10">
        <f t="shared" si="1"/>
        <v>0</v>
      </c>
    </row>
    <row r="11" spans="1:14" x14ac:dyDescent="0.25">
      <c r="C11" t="s">
        <v>101</v>
      </c>
      <c r="I11" t="s">
        <v>101</v>
      </c>
      <c r="J11">
        <v>1</v>
      </c>
      <c r="M11">
        <f t="shared" si="0"/>
        <v>1</v>
      </c>
      <c r="N11">
        <f t="shared" si="1"/>
        <v>1</v>
      </c>
    </row>
    <row r="12" spans="1:14" x14ac:dyDescent="0.25">
      <c r="C12" t="s">
        <v>102</v>
      </c>
      <c r="I12" t="s">
        <v>102</v>
      </c>
      <c r="J12">
        <v>4.333333333333333</v>
      </c>
    </row>
    <row r="13" spans="1:14" x14ac:dyDescent="0.25">
      <c r="C13" t="s">
        <v>103</v>
      </c>
      <c r="I13" t="s">
        <v>103</v>
      </c>
      <c r="J13">
        <v>2.6296296296296293</v>
      </c>
    </row>
    <row r="14" spans="1:14" x14ac:dyDescent="0.25">
      <c r="C14" t="s">
        <v>93</v>
      </c>
      <c r="I14" t="s">
        <v>93</v>
      </c>
      <c r="J14">
        <v>1.2325948740185444</v>
      </c>
    </row>
    <row r="15" spans="1:14" x14ac:dyDescent="0.25">
      <c r="B15" s="26" t="s">
        <v>105</v>
      </c>
      <c r="C15" s="26"/>
      <c r="D15" s="26">
        <v>3.3333333333333335</v>
      </c>
      <c r="H15" s="26" t="s">
        <v>105</v>
      </c>
      <c r="I15" s="26"/>
      <c r="J15" s="26">
        <v>3.3333333333333335</v>
      </c>
    </row>
    <row r="16" spans="1:14" x14ac:dyDescent="0.25">
      <c r="B16" s="26"/>
      <c r="C16" s="26"/>
      <c r="D16" s="26">
        <v>2.5</v>
      </c>
      <c r="H16" s="26"/>
      <c r="I16" s="26"/>
      <c r="J16" s="26">
        <v>4</v>
      </c>
      <c r="M16">
        <f t="shared" ref="M16:M25" si="2">J16</f>
        <v>4</v>
      </c>
      <c r="N16">
        <f t="shared" ref="N16:N25" si="3">J16-D16</f>
        <v>1.5</v>
      </c>
    </row>
    <row r="17" spans="2:14" x14ac:dyDescent="0.25">
      <c r="B17" s="26"/>
      <c r="C17" s="26"/>
      <c r="D17" s="26">
        <v>3.1666666666666665</v>
      </c>
      <c r="H17" s="26"/>
      <c r="I17" s="26"/>
      <c r="J17" s="26">
        <v>3.3333333333333335</v>
      </c>
      <c r="M17">
        <f t="shared" si="2"/>
        <v>3.3333333333333335</v>
      </c>
      <c r="N17">
        <f t="shared" si="3"/>
        <v>0.16666666666666696</v>
      </c>
    </row>
    <row r="18" spans="2:14" x14ac:dyDescent="0.25">
      <c r="B18" s="26"/>
      <c r="C18" s="26"/>
      <c r="D18" s="26">
        <v>3.3333333333333335</v>
      </c>
      <c r="H18" s="26"/>
      <c r="I18" s="26"/>
      <c r="J18" s="26">
        <v>4</v>
      </c>
      <c r="M18">
        <f t="shared" si="2"/>
        <v>4</v>
      </c>
      <c r="N18">
        <f t="shared" si="3"/>
        <v>0.66666666666666652</v>
      </c>
    </row>
    <row r="19" spans="2:14" x14ac:dyDescent="0.25">
      <c r="B19" s="26"/>
      <c r="C19" s="26"/>
      <c r="D19" s="26">
        <v>2.1666666666666665</v>
      </c>
      <c r="H19" s="26"/>
      <c r="I19" s="26"/>
      <c r="J19" s="26">
        <v>1.8333333333333333</v>
      </c>
      <c r="M19">
        <f t="shared" si="2"/>
        <v>1.8333333333333333</v>
      </c>
      <c r="N19">
        <f t="shared" si="3"/>
        <v>-0.33333333333333326</v>
      </c>
    </row>
    <row r="20" spans="2:14" x14ac:dyDescent="0.25">
      <c r="B20" s="26"/>
      <c r="C20" s="26"/>
      <c r="D20" s="26">
        <v>2</v>
      </c>
      <c r="H20" s="26"/>
      <c r="I20" s="26"/>
      <c r="J20" s="26">
        <v>2</v>
      </c>
      <c r="M20">
        <f t="shared" si="2"/>
        <v>2</v>
      </c>
      <c r="N20">
        <f t="shared" si="3"/>
        <v>0</v>
      </c>
    </row>
    <row r="21" spans="2:14" x14ac:dyDescent="0.25">
      <c r="B21" s="26"/>
      <c r="C21" s="26"/>
      <c r="D21" s="26">
        <v>2</v>
      </c>
      <c r="H21" s="26"/>
      <c r="I21" s="26"/>
      <c r="J21" s="26">
        <v>2</v>
      </c>
      <c r="M21">
        <f t="shared" si="2"/>
        <v>2</v>
      </c>
      <c r="N21">
        <f t="shared" si="3"/>
        <v>0</v>
      </c>
    </row>
    <row r="22" spans="2:14" x14ac:dyDescent="0.25">
      <c r="B22" s="26"/>
      <c r="C22" s="26"/>
      <c r="D22" s="26">
        <v>2.3333333333333335</v>
      </c>
      <c r="H22" s="26"/>
      <c r="I22" s="26"/>
      <c r="J22" s="26">
        <v>2</v>
      </c>
      <c r="M22">
        <f t="shared" si="2"/>
        <v>2</v>
      </c>
      <c r="N22">
        <f t="shared" si="3"/>
        <v>-0.33333333333333348</v>
      </c>
    </row>
    <row r="23" spans="2:14" x14ac:dyDescent="0.25">
      <c r="B23" s="26"/>
      <c r="C23" s="26"/>
      <c r="D23" s="26">
        <v>2.3333333333333335</v>
      </c>
      <c r="H23" s="26"/>
      <c r="I23" s="26"/>
      <c r="J23" s="26">
        <v>2</v>
      </c>
      <c r="M23">
        <f t="shared" si="2"/>
        <v>2</v>
      </c>
      <c r="N23">
        <f t="shared" si="3"/>
        <v>-0.33333333333333348</v>
      </c>
    </row>
    <row r="24" spans="2:14" x14ac:dyDescent="0.25">
      <c r="B24" s="26"/>
      <c r="C24" s="26"/>
      <c r="D24" s="26">
        <v>3.6666666666666665</v>
      </c>
      <c r="H24" s="26"/>
      <c r="I24" s="26"/>
      <c r="J24" s="26">
        <v>4</v>
      </c>
      <c r="M24">
        <f t="shared" si="2"/>
        <v>4</v>
      </c>
      <c r="N24">
        <f t="shared" si="3"/>
        <v>0.33333333333333348</v>
      </c>
    </row>
    <row r="25" spans="2:14" x14ac:dyDescent="0.25">
      <c r="C25" t="s">
        <v>101</v>
      </c>
      <c r="I25" t="s">
        <v>101</v>
      </c>
      <c r="J25">
        <v>1.8333333333333333</v>
      </c>
      <c r="M25">
        <f t="shared" si="2"/>
        <v>1.8333333333333333</v>
      </c>
      <c r="N25">
        <f t="shared" si="3"/>
        <v>1.8333333333333333</v>
      </c>
    </row>
    <row r="26" spans="2:14" x14ac:dyDescent="0.25">
      <c r="C26" t="s">
        <v>102</v>
      </c>
      <c r="I26" t="s">
        <v>102</v>
      </c>
      <c r="J26">
        <v>4</v>
      </c>
    </row>
    <row r="27" spans="2:14" x14ac:dyDescent="0.25">
      <c r="C27" t="s">
        <v>103</v>
      </c>
      <c r="I27" t="s">
        <v>103</v>
      </c>
      <c r="J27">
        <v>2.7962962962962963</v>
      </c>
    </row>
    <row r="28" spans="2:14" x14ac:dyDescent="0.25">
      <c r="C28" t="s">
        <v>93</v>
      </c>
      <c r="I28" t="s">
        <v>93</v>
      </c>
      <c r="J28">
        <v>1.0061539042374903</v>
      </c>
    </row>
    <row r="29" spans="2:14" x14ac:dyDescent="0.25">
      <c r="B29" s="25" t="s">
        <v>104</v>
      </c>
      <c r="C29" s="25"/>
      <c r="D29" s="25">
        <v>2</v>
      </c>
      <c r="H29" s="25" t="s">
        <v>104</v>
      </c>
      <c r="I29" s="25"/>
      <c r="J29" s="25">
        <v>2</v>
      </c>
    </row>
    <row r="30" spans="2:14" x14ac:dyDescent="0.25">
      <c r="B30" s="25"/>
      <c r="C30" s="25"/>
      <c r="D30" s="25">
        <v>3.8333333333333335</v>
      </c>
      <c r="H30" s="25"/>
      <c r="I30" s="25"/>
      <c r="J30" s="25">
        <v>4</v>
      </c>
      <c r="M30" s="18">
        <f t="shared" ref="M30:M39" si="4">J30</f>
        <v>4</v>
      </c>
      <c r="N30" s="18">
        <f t="shared" ref="N30:N39" si="5">J30-D30</f>
        <v>0.16666666666666652</v>
      </c>
    </row>
    <row r="31" spans="2:14" x14ac:dyDescent="0.25">
      <c r="B31" s="25"/>
      <c r="C31" s="25"/>
      <c r="D31" s="25">
        <v>1.3333333333333333</v>
      </c>
      <c r="H31" s="25"/>
      <c r="I31" s="25"/>
      <c r="J31" s="25">
        <v>2</v>
      </c>
      <c r="M31" s="18">
        <f t="shared" si="4"/>
        <v>2</v>
      </c>
      <c r="N31" s="18">
        <f t="shared" si="5"/>
        <v>0.66666666666666674</v>
      </c>
    </row>
    <row r="32" spans="2:14" x14ac:dyDescent="0.25">
      <c r="B32" s="25"/>
      <c r="C32" s="25"/>
      <c r="D32" s="25">
        <v>4</v>
      </c>
      <c r="H32" s="25"/>
      <c r="I32" s="25"/>
      <c r="J32" s="25">
        <v>4</v>
      </c>
      <c r="M32" s="18">
        <f t="shared" si="4"/>
        <v>4</v>
      </c>
      <c r="N32" s="18">
        <f t="shared" si="5"/>
        <v>0</v>
      </c>
    </row>
    <row r="33" spans="2:14" x14ac:dyDescent="0.25">
      <c r="B33" s="25"/>
      <c r="C33" s="25"/>
      <c r="D33" s="25">
        <v>2</v>
      </c>
      <c r="H33" s="25"/>
      <c r="I33" s="25"/>
      <c r="J33" s="25">
        <v>2</v>
      </c>
      <c r="M33" s="18">
        <f t="shared" si="4"/>
        <v>2</v>
      </c>
      <c r="N33" s="18">
        <f t="shared" si="5"/>
        <v>0</v>
      </c>
    </row>
    <row r="34" spans="2:14" x14ac:dyDescent="0.25">
      <c r="B34" s="25"/>
      <c r="C34" s="25"/>
      <c r="D34" s="25">
        <v>3.3333333333333335</v>
      </c>
      <c r="H34" s="25"/>
      <c r="I34" s="25"/>
      <c r="J34" s="25">
        <v>4</v>
      </c>
      <c r="M34" s="18">
        <f t="shared" si="4"/>
        <v>4</v>
      </c>
      <c r="N34" s="18">
        <f t="shared" si="5"/>
        <v>0.66666666666666652</v>
      </c>
    </row>
    <row r="35" spans="2:14" x14ac:dyDescent="0.25">
      <c r="B35" s="25"/>
      <c r="C35" s="25"/>
      <c r="D35" s="25">
        <v>4</v>
      </c>
      <c r="H35" s="25"/>
      <c r="I35" s="25"/>
      <c r="J35" s="25">
        <v>4</v>
      </c>
      <c r="M35" s="18">
        <f t="shared" si="4"/>
        <v>4</v>
      </c>
      <c r="N35" s="18">
        <f t="shared" si="5"/>
        <v>0</v>
      </c>
    </row>
    <row r="36" spans="2:14" x14ac:dyDescent="0.25">
      <c r="B36" s="25"/>
      <c r="C36" s="25"/>
      <c r="D36" s="25">
        <v>2</v>
      </c>
      <c r="H36" s="25"/>
      <c r="I36" s="25"/>
      <c r="J36" s="25">
        <v>4</v>
      </c>
      <c r="M36" s="18">
        <f t="shared" si="4"/>
        <v>4</v>
      </c>
      <c r="N36" s="18">
        <f t="shared" si="5"/>
        <v>2</v>
      </c>
    </row>
    <row r="37" spans="2:14" x14ac:dyDescent="0.25">
      <c r="B37" s="25"/>
      <c r="C37" s="25"/>
      <c r="D37" s="25">
        <v>2</v>
      </c>
      <c r="H37" s="25"/>
      <c r="I37" s="25"/>
      <c r="J37" s="25">
        <v>4</v>
      </c>
      <c r="M37" s="18">
        <f t="shared" si="4"/>
        <v>4</v>
      </c>
      <c r="N37" s="18">
        <f t="shared" si="5"/>
        <v>2</v>
      </c>
    </row>
    <row r="38" spans="2:14" x14ac:dyDescent="0.25">
      <c r="B38" s="25"/>
      <c r="C38" s="25"/>
      <c r="D38" s="25">
        <v>4</v>
      </c>
      <c r="H38" s="25"/>
      <c r="I38" s="25"/>
      <c r="J38" s="25">
        <v>4</v>
      </c>
      <c r="M38" s="18">
        <f t="shared" si="4"/>
        <v>4</v>
      </c>
      <c r="N38" s="18">
        <f t="shared" si="5"/>
        <v>0</v>
      </c>
    </row>
    <row r="39" spans="2:14" x14ac:dyDescent="0.25">
      <c r="C39" t="s">
        <v>101</v>
      </c>
      <c r="D39">
        <v>1.3333333333333333</v>
      </c>
      <c r="I39" t="s">
        <v>101</v>
      </c>
      <c r="J39">
        <v>2</v>
      </c>
      <c r="M39" s="18">
        <f t="shared" si="4"/>
        <v>2</v>
      </c>
      <c r="N39" s="18">
        <f t="shared" si="5"/>
        <v>0.66666666666666674</v>
      </c>
    </row>
    <row r="40" spans="2:14" x14ac:dyDescent="0.25">
      <c r="C40" t="s">
        <v>102</v>
      </c>
      <c r="D40">
        <v>4</v>
      </c>
      <c r="I40" t="s">
        <v>102</v>
      </c>
      <c r="J40">
        <v>4</v>
      </c>
    </row>
    <row r="41" spans="2:14" x14ac:dyDescent="0.25">
      <c r="C41" t="s">
        <v>103</v>
      </c>
      <c r="D41">
        <v>2.85</v>
      </c>
      <c r="I41" t="s">
        <v>103</v>
      </c>
      <c r="J41">
        <v>3.4</v>
      </c>
    </row>
    <row r="42" spans="2:14" x14ac:dyDescent="0.25">
      <c r="C42" t="s">
        <v>93</v>
      </c>
      <c r="D42">
        <v>1.0728121578011351</v>
      </c>
      <c r="I42" t="s">
        <v>93</v>
      </c>
      <c r="J42">
        <v>0.96609178307929622</v>
      </c>
    </row>
    <row r="44" spans="2:14" x14ac:dyDescent="0.25">
      <c r="C44" t="s">
        <v>95</v>
      </c>
      <c r="I44" t="s">
        <v>95</v>
      </c>
    </row>
    <row r="45" spans="2:14" x14ac:dyDescent="0.25">
      <c r="C45" t="s">
        <v>103</v>
      </c>
      <c r="D45">
        <v>2.7298850574712645</v>
      </c>
      <c r="I45" t="s">
        <v>103</v>
      </c>
      <c r="J45">
        <v>2.9712643678160915</v>
      </c>
    </row>
    <row r="46" spans="2:14" x14ac:dyDescent="0.25">
      <c r="C46" t="s">
        <v>93</v>
      </c>
      <c r="D46">
        <v>0.98542331680374406</v>
      </c>
      <c r="I46" t="s">
        <v>93</v>
      </c>
      <c r="J46">
        <v>1.0681806271491496</v>
      </c>
    </row>
    <row r="47" spans="2:14" x14ac:dyDescent="0.25">
      <c r="C47" t="s">
        <v>101</v>
      </c>
      <c r="D47">
        <v>1</v>
      </c>
      <c r="I47" t="s">
        <v>101</v>
      </c>
      <c r="J47">
        <v>1</v>
      </c>
    </row>
    <row r="48" spans="2:14" x14ac:dyDescent="0.25">
      <c r="C48" t="s">
        <v>102</v>
      </c>
      <c r="D48">
        <v>4.833333333333333</v>
      </c>
      <c r="I48" t="s">
        <v>102</v>
      </c>
      <c r="J48">
        <v>4.333333333333333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8C9C-F4F0-4C2E-B6E7-C08A6D610469}">
  <dimension ref="A1:N48"/>
  <sheetViews>
    <sheetView tabSelected="1" workbookViewId="0">
      <selection activeCell="T33" sqref="T33"/>
    </sheetView>
  </sheetViews>
  <sheetFormatPr defaultRowHeight="15" x14ac:dyDescent="0.25"/>
  <cols>
    <col min="1" max="1" width="18.28515625" customWidth="1"/>
    <col min="7" max="7" width="18.140625" customWidth="1"/>
  </cols>
  <sheetData>
    <row r="1" spans="1:14" x14ac:dyDescent="0.25">
      <c r="A1" t="s">
        <v>122</v>
      </c>
      <c r="G1" t="s">
        <v>123</v>
      </c>
      <c r="M1" t="s">
        <v>129</v>
      </c>
      <c r="N1" t="s">
        <v>128</v>
      </c>
    </row>
    <row r="2" spans="1:14" x14ac:dyDescent="0.25">
      <c r="B2" s="27" t="s">
        <v>106</v>
      </c>
      <c r="C2" s="27"/>
      <c r="D2" s="27">
        <v>12</v>
      </c>
      <c r="H2" s="27" t="s">
        <v>106</v>
      </c>
      <c r="I2" s="27"/>
      <c r="J2" s="27">
        <v>12</v>
      </c>
      <c r="M2">
        <f>J2</f>
        <v>12</v>
      </c>
      <c r="N2">
        <f>J2-D2</f>
        <v>0</v>
      </c>
    </row>
    <row r="3" spans="1:14" x14ac:dyDescent="0.25">
      <c r="B3" s="27"/>
      <c r="C3" s="27"/>
      <c r="D3" s="27">
        <v>30</v>
      </c>
      <c r="H3" s="27"/>
      <c r="I3" s="27"/>
      <c r="J3" s="27">
        <v>27</v>
      </c>
      <c r="M3">
        <f t="shared" ref="M3:M10" si="0">J3</f>
        <v>27</v>
      </c>
      <c r="N3">
        <f t="shared" ref="N3:N10" si="1">J3-D3</f>
        <v>-3</v>
      </c>
    </row>
    <row r="4" spans="1:14" x14ac:dyDescent="0.25">
      <c r="B4" s="27"/>
      <c r="C4" s="27"/>
      <c r="D4" s="27">
        <v>10</v>
      </c>
      <c r="H4" s="27"/>
      <c r="I4" s="27"/>
      <c r="J4" s="27">
        <v>12</v>
      </c>
      <c r="M4">
        <f t="shared" si="0"/>
        <v>12</v>
      </c>
      <c r="N4">
        <f t="shared" si="1"/>
        <v>2</v>
      </c>
    </row>
    <row r="5" spans="1:14" x14ac:dyDescent="0.25">
      <c r="B5" s="27"/>
      <c r="C5" s="27"/>
      <c r="D5" s="27">
        <v>18</v>
      </c>
      <c r="H5" s="27"/>
      <c r="I5" s="27"/>
      <c r="J5" s="27">
        <v>21</v>
      </c>
      <c r="M5">
        <f t="shared" si="0"/>
        <v>21</v>
      </c>
      <c r="N5">
        <f t="shared" si="1"/>
        <v>3</v>
      </c>
    </row>
    <row r="6" spans="1:14" x14ac:dyDescent="0.25">
      <c r="B6" s="27"/>
      <c r="C6" s="27"/>
      <c r="D6" s="27">
        <v>22</v>
      </c>
      <c r="H6" s="27"/>
      <c r="I6" s="27"/>
      <c r="J6" s="27">
        <v>22</v>
      </c>
      <c r="M6">
        <f t="shared" si="0"/>
        <v>22</v>
      </c>
      <c r="N6">
        <f t="shared" si="1"/>
        <v>0</v>
      </c>
    </row>
    <row r="7" spans="1:14" x14ac:dyDescent="0.25">
      <c r="B7" s="27"/>
      <c r="C7" s="27"/>
      <c r="D7" s="27">
        <v>22</v>
      </c>
      <c r="H7" s="27"/>
      <c r="I7" s="27"/>
      <c r="J7" s="27">
        <v>24</v>
      </c>
      <c r="M7">
        <f t="shared" si="0"/>
        <v>24</v>
      </c>
      <c r="N7">
        <f t="shared" si="1"/>
        <v>2</v>
      </c>
    </row>
    <row r="8" spans="1:14" x14ac:dyDescent="0.25">
      <c r="B8" s="27"/>
      <c r="C8" s="27"/>
      <c r="D8" s="27">
        <v>25</v>
      </c>
      <c r="H8" s="27"/>
      <c r="I8" s="27"/>
      <c r="J8" s="27">
        <v>18</v>
      </c>
      <c r="M8">
        <f t="shared" si="0"/>
        <v>18</v>
      </c>
      <c r="N8">
        <f t="shared" si="1"/>
        <v>-7</v>
      </c>
    </row>
    <row r="9" spans="1:14" x14ac:dyDescent="0.25">
      <c r="B9" s="27"/>
      <c r="C9" s="27"/>
      <c r="D9" s="27">
        <v>20</v>
      </c>
      <c r="H9" s="27"/>
      <c r="I9" s="27"/>
      <c r="J9" s="27">
        <v>17</v>
      </c>
      <c r="M9">
        <f t="shared" si="0"/>
        <v>17</v>
      </c>
      <c r="N9">
        <f t="shared" si="1"/>
        <v>-3</v>
      </c>
    </row>
    <row r="10" spans="1:14" x14ac:dyDescent="0.25">
      <c r="B10" s="27"/>
      <c r="C10" s="27"/>
      <c r="D10" s="27">
        <v>24</v>
      </c>
      <c r="H10" s="27"/>
      <c r="I10" s="27"/>
      <c r="J10" s="27">
        <v>30</v>
      </c>
      <c r="M10">
        <f t="shared" si="0"/>
        <v>30</v>
      </c>
      <c r="N10">
        <f t="shared" si="1"/>
        <v>6</v>
      </c>
    </row>
    <row r="11" spans="1:14" x14ac:dyDescent="0.25">
      <c r="C11" t="s">
        <v>101</v>
      </c>
      <c r="D11">
        <v>10</v>
      </c>
      <c r="I11" t="s">
        <v>101</v>
      </c>
      <c r="J11">
        <v>12</v>
      </c>
    </row>
    <row r="12" spans="1:14" x14ac:dyDescent="0.25">
      <c r="C12" t="s">
        <v>102</v>
      </c>
      <c r="D12">
        <v>30</v>
      </c>
      <c r="I12" t="s">
        <v>102</v>
      </c>
      <c r="J12">
        <v>30</v>
      </c>
    </row>
    <row r="13" spans="1:14" x14ac:dyDescent="0.25">
      <c r="C13" t="s">
        <v>103</v>
      </c>
      <c r="D13">
        <v>20.333333333333332</v>
      </c>
      <c r="I13" t="s">
        <v>103</v>
      </c>
      <c r="J13">
        <v>20.333333333333332</v>
      </c>
    </row>
    <row r="14" spans="1:14" x14ac:dyDescent="0.25">
      <c r="C14" t="s">
        <v>93</v>
      </c>
      <c r="D14">
        <v>6.2849025449882676</v>
      </c>
      <c r="I14" t="s">
        <v>93</v>
      </c>
      <c r="J14">
        <v>6.2249497989943663</v>
      </c>
    </row>
    <row r="15" spans="1:14" x14ac:dyDescent="0.25">
      <c r="B15" s="26" t="s">
        <v>105</v>
      </c>
      <c r="C15" s="26"/>
      <c r="D15" s="26">
        <v>32</v>
      </c>
      <c r="H15" s="26" t="s">
        <v>105</v>
      </c>
      <c r="I15" s="26"/>
      <c r="J15" s="26">
        <v>32</v>
      </c>
      <c r="M15">
        <f t="shared" ref="M15:M24" si="2">J15</f>
        <v>32</v>
      </c>
      <c r="N15">
        <f t="shared" ref="N15:N24" si="3">J15-D15</f>
        <v>0</v>
      </c>
    </row>
    <row r="16" spans="1:14" x14ac:dyDescent="0.25">
      <c r="B16" s="26"/>
      <c r="C16" s="26"/>
      <c r="D16" s="26">
        <v>29</v>
      </c>
      <c r="H16" s="26"/>
      <c r="I16" s="26"/>
      <c r="J16" s="26">
        <v>27</v>
      </c>
      <c r="M16">
        <f t="shared" si="2"/>
        <v>27</v>
      </c>
      <c r="N16">
        <f t="shared" si="3"/>
        <v>-2</v>
      </c>
    </row>
    <row r="17" spans="2:14" x14ac:dyDescent="0.25">
      <c r="B17" s="26"/>
      <c r="C17" s="26"/>
      <c r="D17" s="26">
        <v>25</v>
      </c>
      <c r="H17" s="26"/>
      <c r="I17" s="26"/>
      <c r="J17" s="26">
        <v>26</v>
      </c>
      <c r="M17">
        <f t="shared" si="2"/>
        <v>26</v>
      </c>
      <c r="N17">
        <f t="shared" si="3"/>
        <v>1</v>
      </c>
    </row>
    <row r="18" spans="2:14" x14ac:dyDescent="0.25">
      <c r="B18" s="26"/>
      <c r="C18" s="26"/>
      <c r="D18" s="26">
        <v>28</v>
      </c>
      <c r="H18" s="26"/>
      <c r="I18" s="26"/>
      <c r="J18" s="26">
        <v>18</v>
      </c>
      <c r="M18">
        <f t="shared" si="2"/>
        <v>18</v>
      </c>
      <c r="N18">
        <f t="shared" si="3"/>
        <v>-10</v>
      </c>
    </row>
    <row r="19" spans="2:14" x14ac:dyDescent="0.25">
      <c r="B19" s="26"/>
      <c r="C19" s="26"/>
      <c r="D19" s="26">
        <v>17</v>
      </c>
      <c r="H19" s="26"/>
      <c r="I19" s="26"/>
      <c r="J19" s="26">
        <v>18</v>
      </c>
      <c r="M19">
        <f t="shared" si="2"/>
        <v>18</v>
      </c>
      <c r="N19">
        <f t="shared" si="3"/>
        <v>1</v>
      </c>
    </row>
    <row r="20" spans="2:14" x14ac:dyDescent="0.25">
      <c r="B20" s="26"/>
      <c r="C20" s="26"/>
      <c r="D20" s="26">
        <v>22</v>
      </c>
      <c r="H20" s="26"/>
      <c r="I20" s="26"/>
      <c r="J20" s="26">
        <v>20</v>
      </c>
      <c r="M20">
        <f t="shared" si="2"/>
        <v>20</v>
      </c>
      <c r="N20">
        <f t="shared" si="3"/>
        <v>-2</v>
      </c>
    </row>
    <row r="21" spans="2:14" x14ac:dyDescent="0.25">
      <c r="B21" s="26"/>
      <c r="C21" s="26"/>
      <c r="D21" s="26">
        <v>20</v>
      </c>
      <c r="H21" s="26"/>
      <c r="I21" s="26"/>
      <c r="J21" s="26">
        <v>25</v>
      </c>
      <c r="M21">
        <f t="shared" si="2"/>
        <v>25</v>
      </c>
      <c r="N21">
        <f t="shared" si="3"/>
        <v>5</v>
      </c>
    </row>
    <row r="22" spans="2:14" x14ac:dyDescent="0.25">
      <c r="B22" s="26"/>
      <c r="C22" s="26"/>
      <c r="D22" s="26">
        <v>24</v>
      </c>
      <c r="H22" s="26"/>
      <c r="I22" s="26"/>
      <c r="J22" s="26">
        <v>23</v>
      </c>
      <c r="M22">
        <f t="shared" si="2"/>
        <v>23</v>
      </c>
      <c r="N22">
        <f t="shared" si="3"/>
        <v>-1</v>
      </c>
    </row>
    <row r="23" spans="2:14" x14ac:dyDescent="0.25">
      <c r="B23" s="26"/>
      <c r="C23" s="26"/>
      <c r="D23" s="26">
        <v>17</v>
      </c>
      <c r="H23" s="26"/>
      <c r="I23" s="26"/>
      <c r="J23" s="26">
        <v>15</v>
      </c>
      <c r="M23">
        <f t="shared" si="2"/>
        <v>15</v>
      </c>
      <c r="N23">
        <f t="shared" si="3"/>
        <v>-2</v>
      </c>
    </row>
    <row r="24" spans="2:14" x14ac:dyDescent="0.25">
      <c r="B24" s="26"/>
      <c r="C24" s="26"/>
      <c r="D24" s="26">
        <v>25</v>
      </c>
      <c r="H24" s="26"/>
      <c r="I24" s="26"/>
      <c r="J24" s="26">
        <v>29</v>
      </c>
      <c r="M24">
        <f t="shared" si="2"/>
        <v>29</v>
      </c>
      <c r="N24">
        <f t="shared" si="3"/>
        <v>4</v>
      </c>
    </row>
    <row r="25" spans="2:14" x14ac:dyDescent="0.25">
      <c r="C25" t="s">
        <v>101</v>
      </c>
      <c r="D25">
        <v>17</v>
      </c>
      <c r="I25" t="s">
        <v>101</v>
      </c>
      <c r="J25">
        <v>15</v>
      </c>
    </row>
    <row r="26" spans="2:14" x14ac:dyDescent="0.25">
      <c r="C26" t="s">
        <v>102</v>
      </c>
      <c r="D26">
        <v>32</v>
      </c>
      <c r="I26" t="s">
        <v>102</v>
      </c>
      <c r="J26">
        <v>32</v>
      </c>
    </row>
    <row r="27" spans="2:14" x14ac:dyDescent="0.25">
      <c r="C27" t="s">
        <v>103</v>
      </c>
      <c r="D27">
        <v>23.9</v>
      </c>
      <c r="I27" t="s">
        <v>103</v>
      </c>
      <c r="J27">
        <v>23.3</v>
      </c>
    </row>
    <row r="28" spans="2:14" x14ac:dyDescent="0.25">
      <c r="C28" t="s">
        <v>93</v>
      </c>
      <c r="D28">
        <v>4.9988887654046525</v>
      </c>
      <c r="I28" t="s">
        <v>93</v>
      </c>
      <c r="J28">
        <v>5.4579198316656257</v>
      </c>
    </row>
    <row r="29" spans="2:14" x14ac:dyDescent="0.25">
      <c r="B29" s="25" t="s">
        <v>104</v>
      </c>
      <c r="C29" s="25"/>
      <c r="D29" s="25">
        <v>21</v>
      </c>
      <c r="H29" s="25" t="s">
        <v>104</v>
      </c>
      <c r="I29" s="25"/>
      <c r="J29" s="25">
        <v>26</v>
      </c>
      <c r="M29" s="18">
        <f t="shared" ref="M29:M38" si="4">J29</f>
        <v>26</v>
      </c>
      <c r="N29" s="18">
        <f t="shared" ref="N29:N38" si="5">J29-D29</f>
        <v>5</v>
      </c>
    </row>
    <row r="30" spans="2:14" x14ac:dyDescent="0.25">
      <c r="B30" s="25"/>
      <c r="C30" s="25"/>
      <c r="D30" s="25">
        <v>28</v>
      </c>
      <c r="H30" s="25"/>
      <c r="I30" s="25"/>
      <c r="J30" s="25">
        <v>27</v>
      </c>
      <c r="M30" s="18">
        <f t="shared" si="4"/>
        <v>27</v>
      </c>
      <c r="N30" s="18">
        <f t="shared" si="5"/>
        <v>-1</v>
      </c>
    </row>
    <row r="31" spans="2:14" x14ac:dyDescent="0.25">
      <c r="B31" s="25"/>
      <c r="C31" s="25"/>
      <c r="D31" s="25">
        <v>17</v>
      </c>
      <c r="H31" s="25"/>
      <c r="I31" s="25"/>
      <c r="J31" s="25">
        <v>12</v>
      </c>
      <c r="M31" s="18">
        <f t="shared" si="4"/>
        <v>12</v>
      </c>
      <c r="N31" s="18">
        <f t="shared" si="5"/>
        <v>-5</v>
      </c>
    </row>
    <row r="32" spans="2:14" x14ac:dyDescent="0.25">
      <c r="B32" s="25"/>
      <c r="C32" s="25"/>
      <c r="D32" s="25">
        <v>23</v>
      </c>
      <c r="H32" s="25"/>
      <c r="I32" s="25"/>
      <c r="J32" s="25">
        <v>30</v>
      </c>
      <c r="M32" s="18">
        <f t="shared" si="4"/>
        <v>30</v>
      </c>
      <c r="N32" s="18">
        <f t="shared" si="5"/>
        <v>7</v>
      </c>
    </row>
    <row r="33" spans="2:14" x14ac:dyDescent="0.25">
      <c r="B33" s="25"/>
      <c r="C33" s="25"/>
      <c r="D33" s="25">
        <v>18</v>
      </c>
      <c r="H33" s="25"/>
      <c r="I33" s="25"/>
      <c r="J33" s="25">
        <v>20</v>
      </c>
      <c r="M33" s="18">
        <f t="shared" si="4"/>
        <v>20</v>
      </c>
      <c r="N33" s="18">
        <f t="shared" si="5"/>
        <v>2</v>
      </c>
    </row>
    <row r="34" spans="2:14" x14ac:dyDescent="0.25">
      <c r="B34" s="25"/>
      <c r="C34" s="25"/>
      <c r="D34" s="25">
        <v>22</v>
      </c>
      <c r="H34" s="25"/>
      <c r="I34" s="25"/>
      <c r="J34" s="25">
        <v>26</v>
      </c>
      <c r="M34" s="18">
        <f t="shared" si="4"/>
        <v>26</v>
      </c>
      <c r="N34" s="18">
        <f t="shared" si="5"/>
        <v>4</v>
      </c>
    </row>
    <row r="35" spans="2:14" x14ac:dyDescent="0.25">
      <c r="B35" s="25"/>
      <c r="C35" s="25"/>
      <c r="D35" s="25">
        <v>25</v>
      </c>
      <c r="H35" s="25"/>
      <c r="I35" s="25"/>
      <c r="J35" s="25">
        <v>29</v>
      </c>
      <c r="M35" s="18">
        <f t="shared" si="4"/>
        <v>29</v>
      </c>
      <c r="N35" s="18">
        <f t="shared" si="5"/>
        <v>4</v>
      </c>
    </row>
    <row r="36" spans="2:14" x14ac:dyDescent="0.25">
      <c r="B36" s="25"/>
      <c r="C36" s="25"/>
      <c r="D36" s="25">
        <v>23</v>
      </c>
      <c r="H36" s="25"/>
      <c r="I36" s="25"/>
      <c r="J36" s="25">
        <v>26</v>
      </c>
      <c r="M36" s="18">
        <f t="shared" si="4"/>
        <v>26</v>
      </c>
      <c r="N36" s="18">
        <f t="shared" si="5"/>
        <v>3</v>
      </c>
    </row>
    <row r="37" spans="2:14" x14ac:dyDescent="0.25">
      <c r="B37" s="25"/>
      <c r="C37" s="25"/>
      <c r="D37" s="25">
        <v>22</v>
      </c>
      <c r="H37" s="25"/>
      <c r="I37" s="25"/>
      <c r="J37" s="25">
        <v>25</v>
      </c>
      <c r="M37" s="18">
        <f t="shared" si="4"/>
        <v>25</v>
      </c>
      <c r="N37" s="18">
        <f t="shared" si="5"/>
        <v>3</v>
      </c>
    </row>
    <row r="38" spans="2:14" x14ac:dyDescent="0.25">
      <c r="B38" s="25"/>
      <c r="C38" s="25"/>
      <c r="D38" s="25">
        <v>24</v>
      </c>
      <c r="H38" s="25"/>
      <c r="I38" s="25"/>
      <c r="J38" s="25">
        <v>22</v>
      </c>
      <c r="M38" s="18">
        <f t="shared" si="4"/>
        <v>22</v>
      </c>
      <c r="N38" s="18">
        <f t="shared" si="5"/>
        <v>-2</v>
      </c>
    </row>
    <row r="39" spans="2:14" x14ac:dyDescent="0.25">
      <c r="C39" t="s">
        <v>101</v>
      </c>
      <c r="D39">
        <v>17</v>
      </c>
      <c r="I39" t="s">
        <v>101</v>
      </c>
      <c r="J39">
        <v>12</v>
      </c>
    </row>
    <row r="40" spans="2:14" x14ac:dyDescent="0.25">
      <c r="C40" t="s">
        <v>102</v>
      </c>
      <c r="D40">
        <v>28</v>
      </c>
      <c r="I40" t="s">
        <v>102</v>
      </c>
      <c r="J40">
        <v>30</v>
      </c>
    </row>
    <row r="41" spans="2:14" x14ac:dyDescent="0.25">
      <c r="C41" t="s">
        <v>103</v>
      </c>
      <c r="D41">
        <v>22.3</v>
      </c>
      <c r="I41" t="s">
        <v>103</v>
      </c>
      <c r="J41">
        <v>24.3</v>
      </c>
    </row>
    <row r="42" spans="2:14" x14ac:dyDescent="0.25">
      <c r="C42" t="s">
        <v>93</v>
      </c>
      <c r="D42">
        <v>3.1989581637360271</v>
      </c>
      <c r="I42" t="s">
        <v>93</v>
      </c>
      <c r="J42">
        <v>5.2291915670057918</v>
      </c>
    </row>
    <row r="44" spans="2:14" x14ac:dyDescent="0.25">
      <c r="C44" t="s">
        <v>95</v>
      </c>
      <c r="I44" t="s">
        <v>95</v>
      </c>
    </row>
    <row r="45" spans="2:14" x14ac:dyDescent="0.25">
      <c r="C45" t="s">
        <v>103</v>
      </c>
      <c r="D45">
        <v>22.241379310344829</v>
      </c>
      <c r="I45" t="s">
        <v>103</v>
      </c>
      <c r="J45">
        <v>22.724137931034484</v>
      </c>
    </row>
    <row r="46" spans="2:14" x14ac:dyDescent="0.25">
      <c r="C46" t="s">
        <v>93</v>
      </c>
      <c r="D46">
        <v>4.9760510190152178</v>
      </c>
      <c r="I46" t="s">
        <v>93</v>
      </c>
      <c r="J46">
        <v>5.6814016864813111</v>
      </c>
    </row>
    <row r="47" spans="2:14" x14ac:dyDescent="0.25">
      <c r="C47" t="s">
        <v>101</v>
      </c>
      <c r="D47">
        <v>10</v>
      </c>
      <c r="I47" t="s">
        <v>101</v>
      </c>
      <c r="J47">
        <v>12</v>
      </c>
    </row>
    <row r="48" spans="2:14" x14ac:dyDescent="0.25">
      <c r="C48" t="s">
        <v>102</v>
      </c>
      <c r="D48">
        <v>32</v>
      </c>
      <c r="I48" t="s">
        <v>102</v>
      </c>
      <c r="J48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raw-scores</vt:lpstr>
      <vt:lpstr>M+SD</vt:lpstr>
      <vt:lpstr>PCL-5</vt:lpstr>
      <vt:lpstr>PC-PTSD</vt:lpstr>
      <vt:lpstr>HTQ</vt:lpstr>
      <vt:lpstr>WEMWBS</vt:lpstr>
      <vt:lpstr>CD-RISC</vt:lpstr>
      <vt:lpstr>BRS</vt:lpstr>
      <vt:lpstr>GSE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Dodine</dc:creator>
  <cp:lastModifiedBy>Naomi Du Bois</cp:lastModifiedBy>
  <dcterms:created xsi:type="dcterms:W3CDTF">2015-06-05T18:17:20Z</dcterms:created>
  <dcterms:modified xsi:type="dcterms:W3CDTF">2021-07-11T09:53:47Z</dcterms:modified>
</cp:coreProperties>
</file>